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MIBGAS_Spot" sheetId="2" state="visible" r:id="rId2"/>
    <sheet name="Futu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-yyyy"/>
    <numFmt numFmtId="166" formatCode="dd/mm"/>
    <numFmt numFmtId="167" formatCode="mmm"/>
    <numFmt numFmtId="168" formatCode="#,##0.0"/>
    <numFmt numFmtId="169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1F4E78"/>
      <sz val="11"/>
    </font>
    <font>
      <name val="Calibri"/>
      <b val="1"/>
      <color rgb="001F4E78"/>
      <sz val="10"/>
    </font>
    <font>
      <name val="Calibri"/>
      <b val="1"/>
      <color rgb="00215C2E"/>
      <sz val="11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6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8" fontId="0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2" fillId="6" borderId="1" pivotButton="0" quotePrefix="0" xfId="0"/>
    <xf numFmtId="4" fontId="7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169" fontId="8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68" fontId="2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8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0" customWidth="1" min="3" max="3"/>
  </cols>
  <sheetData>
    <row r="1" ht="30" customHeight="1">
      <c r="A1" s="1" t="inlineStr">
        <is>
          <t xml:space="preserve">  ACZO · RADAR DE GAS — MIBGAS: spot (pasado) + MIBGAS Derivatives (futuro)</t>
        </is>
      </c>
    </row>
    <row r="3" ht="22" customHeight="1">
      <c r="B3" s="2" t="inlineStr"/>
      <c r="C3" s="3" t="inlineStr">
        <is>
          <t>PARA QUÉ SIRVE</t>
        </is>
      </c>
    </row>
    <row r="4" ht="30" customHeight="1">
      <c r="B4" s="4" t="inlineStr"/>
      <c r="C4" s="5" t="inlineStr">
        <is>
          <t>El equivalente en gas del Radar de Mercados eléctrico: el retrovisor (spot MIBGAS desde 2023), el mes en curso (diario, incluida la entrega de MAÑANA) y el parabrisas (curva de futuros MIBGAS Derivatives). Para valorar indexados de gas, vigilar renovaciones y controlar la plausibilidad de ofertas.</t>
        </is>
      </c>
    </row>
    <row r="5" ht="22" customHeight="1">
      <c r="B5" s="4" t="inlineStr"/>
      <c r="C5" s="5" t="inlineStr"/>
    </row>
    <row r="6" ht="22" customHeight="1">
      <c r="B6" s="2" t="inlineStr"/>
      <c r="C6" s="3" t="inlineStr">
        <is>
          <t>HOJAS</t>
        </is>
      </c>
    </row>
    <row r="7" ht="30" customHeight="1">
      <c r="B7" s="4" t="inlineStr">
        <is>
          <t>MIBGAS_Spot</t>
        </is>
      </c>
      <c r="C7" s="5" t="inlineStr">
        <is>
          <t>Precio medio mensual del gas día-siguiente (GDAES) desde 2023 + diario del mes en curso + año en curso. Verde/rojo contra el umbral de config.csv (umbral_gas).</t>
        </is>
      </c>
    </row>
    <row r="8" ht="30" customHeight="1">
      <c r="B8" s="4" t="inlineStr">
        <is>
          <t>Futuros</t>
        </is>
      </c>
      <c r="C8" s="5" t="inlineStr">
        <is>
          <t>La curva completa: meses M+1 a M+6, trimestres Q+1 a Q+4, verano/invierno y años Y+1/Y+2, con el forward 12 meses y su control de pesos.</t>
        </is>
      </c>
    </row>
    <row r="9" ht="22" customHeight="1">
      <c r="B9" s="4" t="inlineStr"/>
      <c r="C9" s="5" t="inlineStr"/>
    </row>
    <row r="10" ht="30" customHeight="1">
      <c r="B10" s="2" t="inlineStr"/>
      <c r="C10" s="3" t="inlineStr">
        <is>
          <t>ACTUALIZACIÓN: el mismo robot de las 21:15 que actualiza el radar eléctrico actualiza este archivo (carpeta _automatizacion, actualizar_gas.py). Fuente: mibgas.es, ficheros públicos MIBGAS_Data. El precio es €/MWh en PVB; el indexado de un cliente = MIBGAS del periodo + peaje variable de su grupo RL + margen de la comercializadora.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" customWidth="1" min="3" max="3"/>
    <col width="12" customWidth="1" min="4" max="4"/>
    <col width="12" customWidth="1" min="5" max="5"/>
    <col width="3" customWidth="1" min="6" max="6"/>
    <col width="12" customWidth="1" min="10" max="10"/>
    <col width="12" customWidth="1" min="11" max="11"/>
  </cols>
  <sheetData>
    <row r="1" ht="30" customHeight="1">
      <c r="A1" s="1" t="inlineStr">
        <is>
          <t xml:space="preserve">  MIBGAS — SPOT GDAES (€/MWh): histórico mensual + mes en curso</t>
        </is>
      </c>
    </row>
    <row r="2">
      <c r="A2" s="6" t="inlineStr">
        <is>
          <t>Izquierda: media mensual del producto día-siguiente (GDAES) por mes de ENTREGA, 2023 → hoy (las filas hasta diciembre del año próximo se rellenan solas). Centro: precios diarios del mes en curso — incluye las entregas de mañana y pasado si ya cotizaron. Derecha: año en curso. VERDE = por debajo del umbral · ROJO = por encima. El gas no tiene periodos horarios: un precio por día.</t>
        </is>
      </c>
    </row>
    <row r="3"/>
    <row r="4">
      <c r="A4" s="7" t="inlineStr">
        <is>
          <t>UMBRAL de color (€/MWh) — se cambia en config.csv (umbral_gas) →</t>
        </is>
      </c>
      <c r="B4" s="8" t="n">
        <v>55</v>
      </c>
      <c r="D4" s="9" t="inlineStr">
        <is>
          <t>MES EN CURSO (Aug-2026)</t>
        </is>
      </c>
      <c r="J4" s="9" t="inlineStr">
        <is>
          <t>AÑO 2026</t>
        </is>
      </c>
    </row>
    <row r="5" ht="28" customHeight="1">
      <c r="A5" s="10" t="inlineStr">
        <is>
          <t>Mes</t>
        </is>
      </c>
      <c r="B5" s="10" t="inlineStr">
        <is>
          <t>Media (€/MWh)</t>
        </is>
      </c>
      <c r="D5" s="10" t="inlineStr">
        <is>
          <t>Entrega</t>
        </is>
      </c>
      <c r="E5" s="10" t="inlineStr">
        <is>
          <t>€/MWh</t>
        </is>
      </c>
      <c r="J5" s="10" t="inlineStr">
        <is>
          <t>Mes</t>
        </is>
      </c>
      <c r="K5" s="10" t="inlineStr">
        <is>
          <t>Media</t>
        </is>
      </c>
    </row>
    <row r="6">
      <c r="A6" s="11" t="n">
        <v>44927</v>
      </c>
      <c r="B6" s="12" t="n">
        <v>60.62</v>
      </c>
      <c r="D6" s="13" t="n">
        <v>46235</v>
      </c>
      <c r="E6" s="12" t="n">
        <v>59.16</v>
      </c>
      <c r="J6" s="14">
        <f>A42</f>
        <v/>
      </c>
      <c r="K6" s="15">
        <f>IF(B42="","",B42)</f>
        <v/>
      </c>
    </row>
    <row r="7">
      <c r="A7" s="11" t="n">
        <v>44958</v>
      </c>
      <c r="B7" s="12" t="n">
        <v>52.17</v>
      </c>
      <c r="D7" s="13" t="n">
        <v>46236</v>
      </c>
      <c r="E7" s="12" t="n">
        <v>60.75</v>
      </c>
      <c r="J7" s="14">
        <f>A43</f>
        <v/>
      </c>
      <c r="K7" s="15">
        <f>IF(B43="","",B43)</f>
        <v/>
      </c>
    </row>
    <row r="8">
      <c r="A8" s="11" t="n">
        <v>44986</v>
      </c>
      <c r="B8" s="12" t="n">
        <v>43.67</v>
      </c>
      <c r="D8" s="13" t="n">
        <v>46237</v>
      </c>
      <c r="E8" s="12" t="n">
        <v>58.66</v>
      </c>
      <c r="J8" s="14">
        <f>A44</f>
        <v/>
      </c>
      <c r="K8" s="15">
        <f>IF(B44="","",B44)</f>
        <v/>
      </c>
    </row>
    <row r="9">
      <c r="A9" s="11" t="n">
        <v>45017</v>
      </c>
      <c r="B9" s="12" t="n">
        <v>38.09</v>
      </c>
      <c r="D9" s="13" t="n">
        <v>46238</v>
      </c>
      <c r="E9" s="12" t="n">
        <v>57.82</v>
      </c>
      <c r="J9" s="14">
        <f>A45</f>
        <v/>
      </c>
      <c r="K9" s="15">
        <f>IF(B45="","",B45)</f>
        <v/>
      </c>
    </row>
    <row r="10">
      <c r="A10" s="11" t="n">
        <v>45047</v>
      </c>
      <c r="B10" s="12" t="n">
        <v>29.23</v>
      </c>
      <c r="D10" s="13" t="n">
        <v>46239</v>
      </c>
      <c r="E10" s="12" t="n">
        <v>56.1</v>
      </c>
      <c r="J10" s="14">
        <f>A46</f>
        <v/>
      </c>
      <c r="K10" s="15">
        <f>IF(B46="","",B46)</f>
        <v/>
      </c>
    </row>
    <row r="11">
      <c r="A11" s="11" t="n">
        <v>45078</v>
      </c>
      <c r="B11" s="12" t="n">
        <v>30.93</v>
      </c>
      <c r="D11" s="13" t="n">
        <v>46240</v>
      </c>
      <c r="E11" s="12" t="n">
        <v>52.41</v>
      </c>
      <c r="J11" s="14">
        <f>A47</f>
        <v/>
      </c>
      <c r="K11" s="15">
        <f>IF(B47="","",B47)</f>
        <v/>
      </c>
    </row>
    <row r="12">
      <c r="A12" s="11" t="n">
        <v>45108</v>
      </c>
      <c r="B12" s="12" t="n">
        <v>30.55</v>
      </c>
      <c r="D12" s="13" t="n">
        <v>46241</v>
      </c>
      <c r="E12" s="12" t="n">
        <v>55.84</v>
      </c>
      <c r="J12" s="14">
        <f>A48</f>
        <v/>
      </c>
      <c r="K12" s="15">
        <f>IF(B48="","",B48)</f>
        <v/>
      </c>
    </row>
    <row r="13">
      <c r="A13" s="11" t="n">
        <v>45139</v>
      </c>
      <c r="B13" s="12" t="n">
        <v>33.86</v>
      </c>
      <c r="D13" s="13" t="n">
        <v>46242</v>
      </c>
      <c r="E13" s="12" t="n">
        <v>54.9</v>
      </c>
      <c r="J13" s="14">
        <f>A49</f>
        <v/>
      </c>
      <c r="K13" s="15">
        <f>IF(B49="","",B49)</f>
        <v/>
      </c>
    </row>
    <row r="14">
      <c r="A14" s="11" t="n">
        <v>45170</v>
      </c>
      <c r="B14" s="12" t="n">
        <v>36.93</v>
      </c>
      <c r="D14" s="13" t="n">
        <v>46243</v>
      </c>
      <c r="E14" s="12" t="n">
        <v>55.95</v>
      </c>
      <c r="J14" s="14">
        <f>A50</f>
        <v/>
      </c>
      <c r="K14" s="15">
        <f>IF(B50="","",B50)</f>
        <v/>
      </c>
    </row>
    <row r="15">
      <c r="A15" s="11" t="n">
        <v>45200</v>
      </c>
      <c r="B15" s="12" t="n">
        <v>43.11</v>
      </c>
      <c r="D15" s="13" t="n">
        <v>46244</v>
      </c>
      <c r="E15" s="12" t="n">
        <v>56.62</v>
      </c>
      <c r="J15" s="14">
        <f>A51</f>
        <v/>
      </c>
      <c r="K15" s="15">
        <f>IF(B51="","",B51)</f>
        <v/>
      </c>
    </row>
    <row r="16">
      <c r="A16" s="11" t="n">
        <v>45231</v>
      </c>
      <c r="B16" s="12" t="n">
        <v>37.99</v>
      </c>
      <c r="D16" s="13" t="n">
        <v>46245</v>
      </c>
      <c r="E16" s="12" t="n">
        <v>60.44</v>
      </c>
      <c r="J16" s="14">
        <f>A52</f>
        <v/>
      </c>
      <c r="K16" s="15">
        <f>IF(B52="","",B52)</f>
        <v/>
      </c>
    </row>
    <row r="17">
      <c r="A17" s="11" t="n">
        <v>45261</v>
      </c>
      <c r="B17" s="12" t="n">
        <v>34.54</v>
      </c>
      <c r="D17" s="13" t="n">
        <v>46246</v>
      </c>
      <c r="E17" s="12" t="n">
        <v>59.05</v>
      </c>
      <c r="J17" s="14">
        <f>A53</f>
        <v/>
      </c>
      <c r="K17" s="15">
        <f>IF(B53="","",B53)</f>
        <v/>
      </c>
    </row>
    <row r="18">
      <c r="A18" s="11" t="n">
        <v>45292</v>
      </c>
      <c r="B18" s="12" t="n">
        <v>29.92</v>
      </c>
      <c r="D18" s="13" t="n">
        <v>46247</v>
      </c>
      <c r="E18" s="12" t="n">
        <v>60.45</v>
      </c>
      <c r="J18" s="16" t="inlineStr">
        <is>
          <t>Aug</t>
        </is>
      </c>
      <c r="K18" s="17">
        <f>E20</f>
        <v/>
      </c>
    </row>
    <row r="19">
      <c r="A19" s="11" t="n">
        <v>45323</v>
      </c>
      <c r="B19" s="12" t="n">
        <v>25.5</v>
      </c>
      <c r="D19" s="18" t="n">
        <v>46248</v>
      </c>
      <c r="E19" s="19" t="n">
        <v>60.77</v>
      </c>
    </row>
    <row r="20">
      <c r="A20" s="11" t="n">
        <v>45352</v>
      </c>
      <c r="B20" s="12" t="n">
        <v>26.72</v>
      </c>
      <c r="D20" s="20" t="inlineStr">
        <is>
          <t>MEDIA MES</t>
        </is>
      </c>
      <c r="E20" s="21">
        <f>AVERAGE(E6:E19)</f>
        <v/>
      </c>
    </row>
    <row r="21">
      <c r="A21" s="11" t="n">
        <v>45383</v>
      </c>
      <c r="B21" s="12" t="n">
        <v>29.21</v>
      </c>
      <c r="D21" s="22" t="inlineStr">
        <is>
          <t>Filas naranjas = entregas futuras ya cotizadas (mañana, pasado).</t>
        </is>
      </c>
    </row>
    <row r="22">
      <c r="A22" s="11" t="n">
        <v>45413</v>
      </c>
      <c r="B22" s="12" t="n">
        <v>31.84</v>
      </c>
    </row>
    <row r="23">
      <c r="A23" s="11" t="n">
        <v>45444</v>
      </c>
      <c r="B23" s="12" t="n">
        <v>34.55</v>
      </c>
    </row>
    <row r="24">
      <c r="A24" s="11" t="n">
        <v>45474</v>
      </c>
      <c r="B24" s="12" t="n">
        <v>32.42</v>
      </c>
    </row>
    <row r="25">
      <c r="A25" s="11" t="n">
        <v>45505</v>
      </c>
      <c r="B25" s="12" t="n">
        <v>38.45</v>
      </c>
    </row>
    <row r="26">
      <c r="A26" s="11" t="n">
        <v>45536</v>
      </c>
      <c r="B26" s="12" t="n">
        <v>36.68</v>
      </c>
    </row>
    <row r="27">
      <c r="A27" s="11" t="n">
        <v>45566</v>
      </c>
      <c r="B27" s="12" t="n">
        <v>40.41</v>
      </c>
    </row>
    <row r="28">
      <c r="A28" s="11" t="n">
        <v>45597</v>
      </c>
      <c r="B28" s="12" t="n">
        <v>44.16</v>
      </c>
    </row>
    <row r="29">
      <c r="A29" s="11" t="n">
        <v>45627</v>
      </c>
      <c r="B29" s="12" t="n">
        <v>46.23</v>
      </c>
    </row>
    <row r="30">
      <c r="A30" s="11" t="n">
        <v>45658</v>
      </c>
      <c r="B30" s="12" t="n">
        <v>48.47</v>
      </c>
    </row>
    <row r="31">
      <c r="A31" s="11" t="n">
        <v>45689</v>
      </c>
      <c r="B31" s="12" t="n">
        <v>50.4</v>
      </c>
    </row>
    <row r="32">
      <c r="A32" s="11" t="n">
        <v>45717</v>
      </c>
      <c r="B32" s="12" t="n">
        <v>41.41</v>
      </c>
    </row>
    <row r="33">
      <c r="A33" s="11" t="n">
        <v>45748</v>
      </c>
      <c r="B33" s="12" t="n">
        <v>33.76</v>
      </c>
    </row>
    <row r="34">
      <c r="A34" s="11" t="n">
        <v>45778</v>
      </c>
      <c r="B34" s="12" t="n">
        <v>34.02</v>
      </c>
    </row>
    <row r="35">
      <c r="A35" s="11" t="n">
        <v>45809</v>
      </c>
      <c r="B35" s="12" t="n">
        <v>36.67</v>
      </c>
    </row>
    <row r="36">
      <c r="A36" s="11" t="n">
        <v>45839</v>
      </c>
      <c r="B36" s="12" t="n">
        <v>33.94</v>
      </c>
    </row>
    <row r="37">
      <c r="A37" s="11" t="n">
        <v>45870</v>
      </c>
      <c r="B37" s="12" t="n">
        <v>32.58</v>
      </c>
    </row>
    <row r="38">
      <c r="A38" s="11" t="n">
        <v>45901</v>
      </c>
      <c r="B38" s="12" t="n">
        <v>31.84</v>
      </c>
    </row>
    <row r="39">
      <c r="A39" s="11" t="n">
        <v>45931</v>
      </c>
      <c r="B39" s="12" t="n">
        <v>31.22</v>
      </c>
    </row>
    <row r="40">
      <c r="A40" s="11" t="n">
        <v>45962</v>
      </c>
      <c r="B40" s="12" t="n">
        <v>30.15</v>
      </c>
    </row>
    <row r="41">
      <c r="A41" s="11" t="n">
        <v>45992</v>
      </c>
      <c r="B41" s="12" t="n">
        <v>27.96</v>
      </c>
    </row>
    <row r="42">
      <c r="A42" s="11" t="n">
        <v>46023</v>
      </c>
      <c r="B42" s="12" t="n">
        <v>35.4</v>
      </c>
    </row>
    <row r="43">
      <c r="A43" s="11" t="n">
        <v>46054</v>
      </c>
      <c r="B43" s="12" t="n">
        <v>31.64</v>
      </c>
    </row>
    <row r="44">
      <c r="A44" s="11" t="n">
        <v>46082</v>
      </c>
      <c r="B44" s="12" t="n">
        <v>51.75</v>
      </c>
    </row>
    <row r="45">
      <c r="A45" s="11" t="n">
        <v>46113</v>
      </c>
      <c r="B45" s="12" t="n">
        <v>44.4</v>
      </c>
    </row>
    <row r="46">
      <c r="A46" s="11" t="n">
        <v>46143</v>
      </c>
      <c r="B46" s="12" t="n">
        <v>46.15</v>
      </c>
    </row>
    <row r="47">
      <c r="A47" s="11" t="n">
        <v>46174</v>
      </c>
      <c r="B47" s="12" t="n">
        <v>45.12</v>
      </c>
    </row>
    <row r="48">
      <c r="A48" s="11" t="n">
        <v>46204</v>
      </c>
      <c r="B48" s="12" t="n">
        <v>55.03</v>
      </c>
    </row>
    <row r="49">
      <c r="A49" s="11" t="n">
        <v>46235</v>
      </c>
      <c r="B49" s="23" t="n"/>
    </row>
    <row r="50">
      <c r="A50" s="11" t="n">
        <v>46266</v>
      </c>
      <c r="B50" s="23" t="n"/>
    </row>
    <row r="51">
      <c r="A51" s="11" t="n">
        <v>46296</v>
      </c>
      <c r="B51" s="23" t="n"/>
    </row>
    <row r="52">
      <c r="A52" s="11" t="n">
        <v>46327</v>
      </c>
      <c r="B52" s="23" t="n"/>
    </row>
    <row r="53">
      <c r="A53" s="11" t="n">
        <v>46357</v>
      </c>
      <c r="B53" s="23" t="n"/>
    </row>
    <row r="54">
      <c r="A54" s="11" t="n">
        <v>46388</v>
      </c>
      <c r="B54" s="23" t="n"/>
    </row>
    <row r="55">
      <c r="A55" s="11" t="n">
        <v>46419</v>
      </c>
      <c r="B55" s="23" t="n"/>
    </row>
    <row r="56">
      <c r="A56" s="11" t="n">
        <v>46447</v>
      </c>
      <c r="B56" s="23" t="n"/>
    </row>
    <row r="57">
      <c r="A57" s="11" t="n">
        <v>46478</v>
      </c>
      <c r="B57" s="23" t="n"/>
    </row>
    <row r="58">
      <c r="A58" s="11" t="n">
        <v>46508</v>
      </c>
      <c r="B58" s="23" t="n"/>
    </row>
    <row r="59">
      <c r="A59" s="11" t="n">
        <v>46539</v>
      </c>
      <c r="B59" s="23" t="n"/>
    </row>
    <row r="60">
      <c r="A60" s="11" t="n">
        <v>46569</v>
      </c>
      <c r="B60" s="23" t="n"/>
    </row>
    <row r="61">
      <c r="A61" s="11" t="n">
        <v>46600</v>
      </c>
      <c r="B61" s="23" t="n"/>
    </row>
    <row r="62">
      <c r="A62" s="11" t="n">
        <v>46631</v>
      </c>
      <c r="B62" s="23" t="n"/>
    </row>
    <row r="63">
      <c r="A63" s="11" t="n">
        <v>46661</v>
      </c>
      <c r="B63" s="23" t="n"/>
    </row>
    <row r="64">
      <c r="A64" s="11" t="n">
        <v>46692</v>
      </c>
      <c r="B64" s="23" t="n"/>
    </row>
    <row r="65">
      <c r="A65" s="11" t="n">
        <v>46722</v>
      </c>
      <c r="B65" s="23" t="n"/>
    </row>
  </sheetData>
  <mergeCells count="6">
    <mergeCell ref="D21:H21"/>
    <mergeCell ref="J4:K4"/>
    <mergeCell ref="A4"/>
    <mergeCell ref="A1:L1"/>
    <mergeCell ref="A2:H3"/>
    <mergeCell ref="D4:E4"/>
  </mergeCells>
  <conditionalFormatting sqref="B6:B65">
    <cfRule type="expression" priority="1" dxfId="0">
      <formula>AND(ISNUMBER($B6),$B6&lt;$B$4)</formula>
    </cfRule>
    <cfRule type="expression" priority="2" dxfId="1">
      <formula>AND(ISNUMBER($B6),$B6&gt;=$B$4)</formula>
    </cfRule>
  </conditionalFormatting>
  <conditionalFormatting sqref="E6:E19">
    <cfRule type="expression" priority="3" dxfId="0">
      <formula>AND(ISNUMBER(E6),E6&lt;$B$4)</formula>
    </cfRule>
    <cfRule type="expression" priority="4" dxfId="1">
      <formula>AND(ISNUMBER(E6),E6&gt;=$B$4)</formula>
    </cfRule>
  </conditionalFormatting>
  <conditionalFormatting sqref="K6:K18">
    <cfRule type="expression" priority="5" dxfId="0">
      <formula>AND(ISNUMBER(K6),K6&lt;$B$4)</formula>
    </cfRule>
    <cfRule type="expression" priority="6" dxfId="1">
      <formula>AND(ISNUMBER(K6),K6&gt;=$B$4)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3" customWidth="1" min="4" max="4"/>
    <col width="48" customWidth="1" min="5" max="5"/>
  </cols>
  <sheetData>
    <row r="1" ht="30" customHeight="1">
      <c r="A1" s="1" t="inlineStr">
        <is>
          <t xml:space="preserve">  MIBGAS DERIVATIVES — LA CURVA DE FUTUROS DEL GAS (€/MWh, PVB)</t>
        </is>
      </c>
    </row>
    <row r="2">
      <c r="A2" s="6" t="inlineStr">
        <is>
          <t>Lo que el mercado paga HOY por el gas de mañana: el indicador adelantado para renovaciones y para valorar precios fijos de gas. El robot toma el precio de referencia del último día de negociación de cada producto.</t>
        </is>
      </c>
    </row>
    <row r="3"/>
    <row r="4">
      <c r="A4" s="24" t="inlineStr">
        <is>
          <t>Fecha de la curva:</t>
        </is>
      </c>
      <c r="B4" s="25" t="n">
        <v>46247</v>
      </c>
    </row>
    <row r="5" ht="24" customHeight="1">
      <c r="A5" s="10" t="inlineStr">
        <is>
          <t>Producto (periodo de entrega)</t>
        </is>
      </c>
      <c r="B5" s="10" t="inlineStr">
        <is>
          <t>Precio (€/MWh)</t>
        </is>
      </c>
      <c r="C5" s="10" t="inlineStr">
        <is>
          <t>Peso forward</t>
        </is>
      </c>
      <c r="E5" s="3" t="inlineStr">
        <is>
          <t>CÓMO SE LEE</t>
        </is>
      </c>
    </row>
    <row r="6" ht="24" customHeight="1">
      <c r="A6" s="26" t="inlineStr">
        <is>
          <t>Mes M+1 (Sep26-Sep26)</t>
        </is>
      </c>
      <c r="B6" s="27" t="n">
        <v>59.01</v>
      </c>
      <c r="C6" s="28" t="n">
        <v>1</v>
      </c>
      <c r="E6" s="29" t="inlineStr">
        <is>
          <t>· Forward &gt; spot (contango): el mercado espera gas más caro — renovar pronto y revisar fijaciones.</t>
        </is>
      </c>
    </row>
    <row r="7" ht="24" customHeight="1">
      <c r="A7" s="26" t="inlineStr">
        <is>
          <t>Mes M+2 (Oct26-Oct26)</t>
        </is>
      </c>
      <c r="B7" s="27" t="n">
        <v>58.4</v>
      </c>
      <c r="C7" s="28" t="n">
        <v>0</v>
      </c>
      <c r="E7" s="29" t="inlineStr">
        <is>
          <t>· Forward &lt; spot (backwardation): el mercado espera relajación — favorece indexado y esperar.</t>
        </is>
      </c>
    </row>
    <row r="8" ht="24" customHeight="1">
      <c r="A8" s="26" t="inlineStr">
        <is>
          <t>Mes M+3 (Nov26-Nov26)</t>
        </is>
      </c>
      <c r="B8" s="27" t="n">
        <v>59.7</v>
      </c>
      <c r="C8" s="28" t="n">
        <v>0</v>
      </c>
      <c r="E8" s="29" t="inlineStr">
        <is>
          <t>· Estacionalidad estructural: el invierno (GSES_W) cotiza por encima del verano (GSES_S). Un fijo anual promedia las dos.</t>
        </is>
      </c>
    </row>
    <row r="9" ht="24" customHeight="1">
      <c r="A9" s="30" t="inlineStr">
        <is>
          <t>Trimestre Q+1 (Oct26-Dec26)</t>
        </is>
      </c>
      <c r="B9" s="27" t="n">
        <v>58.6</v>
      </c>
      <c r="C9" s="28" t="n">
        <v>3</v>
      </c>
      <c r="E9" s="29" t="inlineStr">
        <is>
          <t>· Control de plausibilidad de ofertas (ficha de gas): energía sin peajes esperada ≈ forward + 15-25 €/MWh de margen.</t>
        </is>
      </c>
    </row>
    <row r="10" ht="24" customHeight="1">
      <c r="A10" s="30" t="inlineStr">
        <is>
          <t>Trimestre Q+2 (Jan27-Mar27)</t>
        </is>
      </c>
      <c r="B10" s="27" t="n">
        <v>57.19</v>
      </c>
      <c r="C10" s="28" t="n">
        <v>3</v>
      </c>
      <c r="E10" s="29" t="inlineStr">
        <is>
          <t>· El precio TUR de materia prima se referencia a MIBGAS: esta curva ANTICIPA los reprecios trimestrales de la TUR (ene/abr/jul/oct).</t>
        </is>
      </c>
    </row>
    <row r="11">
      <c r="A11" s="30" t="inlineStr">
        <is>
          <t>Trimestre Q+3 (Apr27-Jun27)</t>
        </is>
      </c>
      <c r="B11" s="27" t="n">
        <v>39.91</v>
      </c>
      <c r="C11" s="28" t="n">
        <v>3</v>
      </c>
    </row>
    <row r="12">
      <c r="A12" s="30" t="inlineStr">
        <is>
          <t>Trimestre Q+4 (Jul27-Sep27)</t>
        </is>
      </c>
      <c r="B12" s="27" t="n">
        <v>37.6</v>
      </c>
      <c r="C12" s="28" t="n">
        <v>2</v>
      </c>
    </row>
    <row r="13">
      <c r="A13" s="31" t="inlineStr">
        <is>
          <t>Verano (abr-sep) (Apr27-Sep27)</t>
        </is>
      </c>
      <c r="B13" s="27" t="n">
        <v>38.75</v>
      </c>
      <c r="C13" s="28" t="n">
        <v>0</v>
      </c>
    </row>
    <row r="14">
      <c r="A14" s="31" t="inlineStr">
        <is>
          <t>Invierno (oct-mar) (Oct26-Mar27)</t>
        </is>
      </c>
      <c r="B14" s="27" t="n">
        <v>58.58</v>
      </c>
      <c r="C14" s="28" t="n">
        <v>0</v>
      </c>
    </row>
    <row r="15">
      <c r="A15" s="31" t="inlineStr">
        <is>
          <t>Año Y+1 (Jan27-Dec27)</t>
        </is>
      </c>
      <c r="B15" s="27" t="n">
        <v>42.88</v>
      </c>
      <c r="C15" s="28" t="n">
        <v>0</v>
      </c>
    </row>
    <row r="16">
      <c r="A16" s="31" t="inlineStr">
        <is>
          <t>Año Y+2 (Jan28-Dec28)</t>
        </is>
      </c>
      <c r="B16" s="27" t="n">
        <v>29.84</v>
      </c>
      <c r="C16" s="28" t="n">
        <v>0</v>
      </c>
    </row>
    <row r="18">
      <c r="A18" s="32" t="inlineStr">
        <is>
          <t>Suma de pesos (debe ser 12)</t>
        </is>
      </c>
      <c r="B18" s="33">
        <f>SUM(C6:C16)</f>
        <v/>
      </c>
      <c r="C18" s="24">
        <f>IF(B18=12,"OK","⚠")</f>
        <v/>
      </c>
    </row>
    <row r="19">
      <c r="A19" s="34" t="inlineStr">
        <is>
          <t>FORWARD PRÓXIMOS 12 MESES (€/MWh)</t>
        </is>
      </c>
      <c r="B19" s="35">
        <f>SUMPRODUCT(B6:B16,C6:C16)/SUM(C6:C16)</f>
        <v/>
      </c>
    </row>
    <row r="20">
      <c r="A20" s="32" t="inlineStr">
        <is>
          <t>Spot del mes en curso (€/MWh)</t>
        </is>
      </c>
      <c r="B20" s="33">
        <f>MIBGAS_Spot!E20</f>
        <v/>
      </c>
    </row>
    <row r="21">
      <c r="A21" s="32" t="inlineStr">
        <is>
          <t>Contango/backwardation (forward − spot)</t>
        </is>
      </c>
      <c r="B21" s="33">
        <f>B19-B20</f>
        <v/>
      </c>
    </row>
  </sheetData>
  <mergeCells count="2">
    <mergeCell ref="A2:E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2026-08-13T20:02:47Z</dcterms:created>
  <dcterms:modified xsi:type="dcterms:W3CDTF">2026-08-13T20:02:47Z</dcterms:modified>
</cp:coreProperties>
</file>