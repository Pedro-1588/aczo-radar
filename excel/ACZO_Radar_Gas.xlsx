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46247</v>
      </c>
      <c r="E18" s="12" t="n">
        <v>60.45</v>
      </c>
      <c r="J18" s="16" t="inlineStr">
        <is>
          <t>Aug</t>
        </is>
      </c>
      <c r="K18" s="17">
        <f>E23</f>
        <v/>
      </c>
    </row>
    <row r="19">
      <c r="A19" s="11" t="n">
        <v>45323</v>
      </c>
      <c r="B19" s="12" t="n">
        <v>25.5</v>
      </c>
      <c r="D19" s="13" t="n">
        <v>46248</v>
      </c>
      <c r="E19" s="12" t="n">
        <v>60.77</v>
      </c>
    </row>
    <row r="20">
      <c r="A20" s="11" t="n">
        <v>45352</v>
      </c>
      <c r="B20" s="12" t="n">
        <v>26.72</v>
      </c>
      <c r="D20" s="13" t="n">
        <v>46249</v>
      </c>
      <c r="E20" s="12" t="n">
        <v>60.81</v>
      </c>
    </row>
    <row r="21">
      <c r="A21" s="11" t="n">
        <v>45383</v>
      </c>
      <c r="B21" s="12" t="n">
        <v>29.21</v>
      </c>
      <c r="D21" s="13" t="n">
        <v>46250</v>
      </c>
      <c r="E21" s="12" t="n">
        <v>62.41</v>
      </c>
    </row>
    <row r="22">
      <c r="A22" s="11" t="n">
        <v>45413</v>
      </c>
      <c r="B22" s="12" t="n">
        <v>31.84</v>
      </c>
      <c r="D22" s="18" t="n">
        <v>46251</v>
      </c>
      <c r="E22" s="19" t="n">
        <v>63.46</v>
      </c>
    </row>
    <row r="23">
      <c r="A23" s="11" t="n">
        <v>45444</v>
      </c>
      <c r="B23" s="12" t="n">
        <v>34.55</v>
      </c>
      <c r="D23" s="20" t="inlineStr">
        <is>
          <t>MEDIA MES</t>
        </is>
      </c>
      <c r="E23" s="21">
        <f>AVERAGE(E6:E22)</f>
        <v/>
      </c>
    </row>
    <row r="24">
      <c r="A24" s="11" t="n">
        <v>45474</v>
      </c>
      <c r="B24" s="12" t="n">
        <v>32.42</v>
      </c>
      <c r="D24" s="22" t="inlineStr">
        <is>
          <t>Filas naranjas = entregas futuras ya cotizadas (mañana, pasado).</t>
        </is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3" t="n"/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D24:H2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2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46248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(Sep26-Sep26)</t>
        </is>
      </c>
      <c r="B6" s="27" t="n">
        <v>61.35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(Oct26-Oct26)</t>
        </is>
      </c>
      <c r="B7" s="27" t="n">
        <v>60.03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(Nov26-Nov26)</t>
        </is>
      </c>
      <c r="B8" s="27" t="n">
        <v>59.95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60.19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56.46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39.93</v>
      </c>
      <c r="C11" s="28" t="n">
        <v>3</v>
      </c>
    </row>
    <row r="12">
      <c r="A12" s="30" t="inlineStr">
        <is>
          <t>Trimestre Q+4 (Jul27-Sep27)</t>
        </is>
      </c>
      <c r="B12" s="27" t="n">
        <v>37.54</v>
      </c>
      <c r="C12" s="28" t="n">
        <v>2</v>
      </c>
    </row>
    <row r="13">
      <c r="A13" s="31" t="inlineStr">
        <is>
          <t>Verano (abr-sep) (Apr27-Sep27)</t>
        </is>
      </c>
      <c r="B13" s="27" t="n">
        <v>38.73</v>
      </c>
      <c r="C13" s="28" t="n">
        <v>0</v>
      </c>
    </row>
    <row r="14">
      <c r="A14" s="31" t="inlineStr">
        <is>
          <t>Invierno (oct-mar) (Oct26-Mar27)</t>
        </is>
      </c>
      <c r="B14" s="27" t="n">
        <v>58.7</v>
      </c>
      <c r="C14" s="28" t="n">
        <v>0</v>
      </c>
    </row>
    <row r="15">
      <c r="A15" s="31" t="inlineStr">
        <is>
          <t>Año Y+1 (Jan27-Dec27)</t>
        </is>
      </c>
      <c r="B15" s="27" t="n">
        <v>43.5</v>
      </c>
      <c r="C15" s="28" t="n">
        <v>0</v>
      </c>
    </row>
    <row r="16">
      <c r="A16" s="31" t="inlineStr">
        <is>
          <t>Año Y+2 (Jan28-Dec28)</t>
        </is>
      </c>
      <c r="B16" s="27" t="n">
        <v>29.9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MIBGAS_Spot!E23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2026-08-16T19:41:16Z</dcterms:created>
  <dcterms:modified xsi:type="dcterms:W3CDTF">2026-08-16T19:41:16Z</dcterms:modified>
</cp:coreProperties>
</file>