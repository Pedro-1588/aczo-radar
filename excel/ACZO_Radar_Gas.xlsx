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E26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8" t="inlineStr">
        <is>
          <t>MEDIA MES</t>
        </is>
      </c>
      <c r="E26" s="19">
        <f>AVERAGE(E6:E25)</f>
        <v/>
      </c>
    </row>
    <row r="27">
      <c r="A27" s="11" t="n">
        <v>45566</v>
      </c>
      <c r="B27" s="12" t="n">
        <v>40.41</v>
      </c>
      <c r="D27" s="20" t="inlineStr">
        <is>
          <t>Filas naranjas = entregas futuras ya cotizadas (mañana, pasado).</t>
        </is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27:H2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46253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62.97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62.2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62.25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62.35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59.84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41.74</v>
      </c>
      <c r="C11" s="26" t="n">
        <v>3</v>
      </c>
    </row>
    <row r="12">
      <c r="A12" s="28" t="inlineStr">
        <is>
          <t>Trimestre Q+4 (Jul27-Sep27)</t>
        </is>
      </c>
      <c r="B12" s="25" t="n">
        <v>39.26</v>
      </c>
      <c r="C12" s="26" t="n">
        <v>2</v>
      </c>
    </row>
    <row r="13">
      <c r="A13" s="29" t="inlineStr">
        <is>
          <t>Verano (abr-sep) (Apr27-Sep27)</t>
        </is>
      </c>
      <c r="B13" s="25" t="n">
        <v>40.49</v>
      </c>
      <c r="C13" s="26" t="n">
        <v>0</v>
      </c>
    </row>
    <row r="14">
      <c r="A14" s="29" t="inlineStr">
        <is>
          <t>Invierno (oct-mar) (Oct26-Mar27)</t>
        </is>
      </c>
      <c r="B14" s="25" t="n">
        <v>61.1</v>
      </c>
      <c r="C14" s="26" t="n">
        <v>0</v>
      </c>
    </row>
    <row r="15">
      <c r="A15" s="29" t="inlineStr">
        <is>
          <t>Año Y+1 (Jan27-Dec27)</t>
        </is>
      </c>
      <c r="B15" s="25" t="n">
        <v>44.88</v>
      </c>
      <c r="C15" s="26" t="n">
        <v>0</v>
      </c>
    </row>
    <row r="16">
      <c r="A16" s="29" t="inlineStr">
        <is>
          <t>Año Y+2 (Jan28-Dec28)</t>
        </is>
      </c>
      <c r="B16" s="25" t="n">
        <v>30.78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MIBGAS_Spot!E26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2026-08-20T11:53:44Z</dcterms:created>
  <dcterms:modified xsi:type="dcterms:W3CDTF">2026-08-20T11:53:44Z</dcterms:modified>
</cp:coreProperties>
</file>