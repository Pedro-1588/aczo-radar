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(Aug-2026)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46235</v>
      </c>
      <c r="E6" s="12" t="n">
        <v>59.16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46236</v>
      </c>
      <c r="E7" s="12" t="n">
        <v>60.75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46237</v>
      </c>
      <c r="E8" s="12" t="n">
        <v>58.66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46238</v>
      </c>
      <c r="E9" s="12" t="n">
        <v>57.82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46239</v>
      </c>
      <c r="E10" s="12" t="n">
        <v>56.1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46240</v>
      </c>
      <c r="E11" s="12" t="n">
        <v>52.41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46241</v>
      </c>
      <c r="E12" s="12" t="n">
        <v>55.84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46242</v>
      </c>
      <c r="E13" s="12" t="n">
        <v>54.9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46243</v>
      </c>
      <c r="E14" s="12" t="n">
        <v>55.95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46244</v>
      </c>
      <c r="E15" s="12" t="n">
        <v>56.62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46245</v>
      </c>
      <c r="E16" s="12" t="n">
        <v>60.44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46246</v>
      </c>
      <c r="E17" s="12" t="n">
        <v>59.05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46247</v>
      </c>
      <c r="E18" s="12" t="n">
        <v>60.45</v>
      </c>
      <c r="J18" s="16" t="inlineStr">
        <is>
          <t>Aug</t>
        </is>
      </c>
      <c r="K18" s="17">
        <f>E25</f>
        <v/>
      </c>
    </row>
    <row r="19">
      <c r="A19" s="11" t="n">
        <v>45323</v>
      </c>
      <c r="B19" s="12" t="n">
        <v>25.5</v>
      </c>
      <c r="D19" s="13" t="n">
        <v>46248</v>
      </c>
      <c r="E19" s="12" t="n">
        <v>60.77</v>
      </c>
    </row>
    <row r="20">
      <c r="A20" s="11" t="n">
        <v>45352</v>
      </c>
      <c r="B20" s="12" t="n">
        <v>26.72</v>
      </c>
      <c r="D20" s="13" t="n">
        <v>46249</v>
      </c>
      <c r="E20" s="12" t="n">
        <v>60.81</v>
      </c>
    </row>
    <row r="21">
      <c r="A21" s="11" t="n">
        <v>45383</v>
      </c>
      <c r="B21" s="12" t="n">
        <v>29.21</v>
      </c>
      <c r="D21" s="13" t="n">
        <v>46250</v>
      </c>
      <c r="E21" s="12" t="n">
        <v>62.41</v>
      </c>
    </row>
    <row r="22">
      <c r="A22" s="11" t="n">
        <v>45413</v>
      </c>
      <c r="B22" s="12" t="n">
        <v>31.84</v>
      </c>
      <c r="D22" s="13" t="n">
        <v>46251</v>
      </c>
      <c r="E22" s="12" t="n">
        <v>63.46</v>
      </c>
    </row>
    <row r="23">
      <c r="A23" s="11" t="n">
        <v>45444</v>
      </c>
      <c r="B23" s="12" t="n">
        <v>34.55</v>
      </c>
      <c r="D23" s="13" t="n">
        <v>46252</v>
      </c>
      <c r="E23" s="12" t="n">
        <v>61.77</v>
      </c>
    </row>
    <row r="24">
      <c r="A24" s="11" t="n">
        <v>45474</v>
      </c>
      <c r="B24" s="12" t="n">
        <v>32.42</v>
      </c>
      <c r="D24" s="18" t="n">
        <v>46253</v>
      </c>
      <c r="E24" s="19" t="n">
        <v>63.61</v>
      </c>
    </row>
    <row r="25">
      <c r="A25" s="11" t="n">
        <v>45505</v>
      </c>
      <c r="B25" s="12" t="n">
        <v>38.45</v>
      </c>
      <c r="D25" s="20" t="inlineStr">
        <is>
          <t>MEDIA MES</t>
        </is>
      </c>
      <c r="E25" s="21">
        <f>AVERAGE(E6:E24)</f>
        <v/>
      </c>
    </row>
    <row r="26">
      <c r="A26" s="11" t="n">
        <v>45536</v>
      </c>
      <c r="B26" s="12" t="n">
        <v>36.68</v>
      </c>
      <c r="D26" s="22" t="inlineStr">
        <is>
          <t>Filas naranjas = entregas futuras ya cotizadas (mañana, pasado).</t>
        </is>
      </c>
    </row>
    <row r="27">
      <c r="A27" s="11" t="n">
        <v>45566</v>
      </c>
      <c r="B27" s="12" t="n">
        <v>40.41</v>
      </c>
    </row>
    <row r="28">
      <c r="A28" s="11" t="n">
        <v>45597</v>
      </c>
      <c r="B28" s="12" t="n">
        <v>44.16</v>
      </c>
    </row>
    <row r="29">
      <c r="A29" s="11" t="n">
        <v>45627</v>
      </c>
      <c r="B29" s="12" t="n">
        <v>46.23</v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23" t="n"/>
    </row>
    <row r="50">
      <c r="A50" s="11" t="n">
        <v>46266</v>
      </c>
      <c r="B50" s="23" t="n"/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A1:L1"/>
    <mergeCell ref="A2:H3"/>
    <mergeCell ref="D4:E4"/>
    <mergeCell ref="D26:H26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24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46252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(Sep26-Sep26)</t>
        </is>
      </c>
      <c r="B6" s="27" t="n">
        <v>62.34</v>
      </c>
      <c r="C6" s="28" t="n">
        <v>1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(Oct26-Oct26)</t>
        </is>
      </c>
      <c r="B7" s="27" t="n">
        <v>62.65</v>
      </c>
      <c r="C7" s="28" t="n">
        <v>0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(Nov26-Nov26)</t>
        </is>
      </c>
      <c r="B8" s="27" t="n">
        <v>62.73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(Oct26-Dec26)</t>
        </is>
      </c>
      <c r="B9" s="27" t="n">
        <v>61.65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(Jan27-Mar27)</t>
        </is>
      </c>
      <c r="B10" s="27" t="n">
        <v>59.87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(Apr27-Jun27)</t>
        </is>
      </c>
      <c r="B11" s="27" t="n">
        <v>41.34</v>
      </c>
      <c r="C11" s="28" t="n">
        <v>3</v>
      </c>
    </row>
    <row r="12">
      <c r="A12" s="30" t="inlineStr">
        <is>
          <t>Trimestre Q+4 (Jul27-Sep27)</t>
        </is>
      </c>
      <c r="B12" s="27" t="n">
        <v>38.94</v>
      </c>
      <c r="C12" s="28" t="n">
        <v>2</v>
      </c>
    </row>
    <row r="13">
      <c r="A13" s="31" t="inlineStr">
        <is>
          <t>Verano (abr-sep) (Apr27-Sep27)</t>
        </is>
      </c>
      <c r="B13" s="27" t="n">
        <v>40.13</v>
      </c>
      <c r="C13" s="28" t="n">
        <v>0</v>
      </c>
    </row>
    <row r="14">
      <c r="A14" s="31" t="inlineStr">
        <is>
          <t>Invierno (oct-mar) (Oct26-Mar27)</t>
        </is>
      </c>
      <c r="B14" s="27" t="n">
        <v>61.31</v>
      </c>
      <c r="C14" s="28" t="n">
        <v>0</v>
      </c>
    </row>
    <row r="15">
      <c r="A15" s="31" t="inlineStr">
        <is>
          <t>Año Y+1 (Jan27-Dec27)</t>
        </is>
      </c>
      <c r="B15" s="27" t="n">
        <v>44.63</v>
      </c>
      <c r="C15" s="28" t="n">
        <v>0</v>
      </c>
    </row>
    <row r="16">
      <c r="A16" s="31" t="inlineStr">
        <is>
          <t>Año Y+2 (Jan28-Dec28)</t>
        </is>
      </c>
      <c r="B16" s="27" t="n">
        <v>30.68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MIBGAS_Spot!E25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2026-08-18T19:46:38Z</dcterms:created>
  <dcterms:modified xsi:type="dcterms:W3CDTF">2026-08-18T19:46:38Z</dcterms:modified>
</cp:coreProperties>
</file>