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OMIE_20" sheetId="2" state="visible" r:id="rId2"/>
    <sheet name="OMIE_6P" sheetId="3" state="visible" r:id="rId3"/>
    <sheet name="OMIP" sheetId="4" state="visible" r:id="rId4"/>
    <sheet name="PQ_Mensual" sheetId="5" state="visible" r:id="rId5"/>
    <sheet name="PQ_Diario" sheetId="6" state="visible" r:id="rId6"/>
    <sheet name="PQ_Mensual6P" sheetId="7" state="visible" r:id="rId7"/>
    <sheet name="PQ_OMI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mmm-yyyy"/>
    <numFmt numFmtId="166" formatCode="#,##0.00000"/>
    <numFmt numFmtId="167" formatCode="#,##0.0"/>
    <numFmt numFmtId="168" formatCode="dd/mm"/>
    <numFmt numFmtId="169" formatCode="+0%;-0%"/>
    <numFmt numFmtId="170" formatCode="mmm"/>
    <numFmt numFmtId="171" formatCode="dd/mm/yyyy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0000FF"/>
      <sz val="10"/>
    </font>
    <font>
      <name val="Calibri"/>
      <b val="1"/>
      <color rgb="00FFFFFF"/>
      <sz val="10"/>
    </font>
    <font>
      <name val="Calibri"/>
      <b val="1"/>
      <color rgb="001F4E78"/>
      <sz val="10"/>
    </font>
    <font>
      <name val="Calibri"/>
      <b val="1"/>
      <color rgb="001F4E78"/>
      <sz val="11"/>
    </font>
    <font>
      <name val="Calibri"/>
      <b val="1"/>
      <color rgb="00215C2E"/>
      <sz val="11"/>
    </font>
    <font>
      <name val="Calibri"/>
      <sz val="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C6E0B4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165" fontId="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3" fontId="5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6" fillId="2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170" fontId="3" fillId="0" borderId="1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170" fontId="2" fillId="5" borderId="1" applyAlignment="1" pivotButton="0" quotePrefix="0" xfId="0">
      <alignment horizontal="center" vertical="center"/>
    </xf>
    <xf numFmtId="167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4" fontId="8" fillId="6" borderId="1" applyAlignment="1" pivotButton="0" quotePrefix="0" xfId="0">
      <alignment horizontal="center" vertical="center"/>
    </xf>
    <xf numFmtId="169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0" pivotButton="0" quotePrefix="0" xfId="0"/>
    <xf numFmtId="171" fontId="5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7" fillId="0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1" fontId="2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167" fontId="8" fillId="8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167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Calibri"/>
        <color rgb="00006100"/>
        <sz val="10"/>
      </font>
      <fill>
        <patternFill patternType="solid">
          <fgColor rgb="00C6EFCE"/>
        </patternFill>
      </fill>
    </dxf>
    <dxf>
      <font>
        <name val="Calibri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00" customWidth="1" min="3" max="3"/>
  </cols>
  <sheetData>
    <row r="1" ht="30" customHeight="1">
      <c r="A1" s="1" t="inlineStr">
        <is>
          <t xml:space="preserve">  ACZO · RADAR DE MERCADOS — OMIE (pasado) + OMIP (futuro) · 2.0TD y 3.0/6.1TD</t>
        </is>
      </c>
    </row>
    <row r="3" ht="22" customHeight="1">
      <c r="B3" s="2" t="inlineStr"/>
      <c r="C3" s="3" t="inlineStr">
        <is>
          <t>PARA QUÉ SIRVE</t>
        </is>
      </c>
    </row>
    <row r="4" ht="30" customHeight="1">
      <c r="B4" s="4" t="inlineStr"/>
      <c r="C4" s="5" t="inlineStr">
        <is>
          <t>Panel de seguimiento de mercado para el equipo: el retrovisor (spot OMIE desde 2023), el mes en curso (diario) y el parabrisas (futuros OMIP). Sin cliente cargado: es la foto del mercado. Los estudios de cliente viven en los otros Excel.</t>
        </is>
      </c>
    </row>
    <row r="5" ht="22" customHeight="1">
      <c r="B5" s="4" t="inlineStr"/>
      <c r="C5" s="5" t="inlineStr"/>
    </row>
    <row r="6" ht="22" customHeight="1">
      <c r="B6" s="2" t="inlineStr"/>
      <c r="C6" s="3" t="inlineStr">
        <is>
          <t>HOJAS</t>
        </is>
      </c>
    </row>
    <row r="7" ht="30" customHeight="1">
      <c r="B7" s="4" t="inlineStr">
        <is>
          <t>OMIE_20</t>
        </is>
      </c>
      <c r="C7" s="5" t="inlineStr">
        <is>
          <t>Spot mensual por periodo P1/P2/P3 (calendario 2.0TD) + precios diarios del mes en curso + año en curso. Verde/rojo contra el umbral que fijes.</t>
        </is>
      </c>
    </row>
    <row r="8" ht="30" customHeight="1">
      <c r="B8" s="4" t="inlineStr">
        <is>
          <t>OMIE_6P</t>
        </is>
      </c>
      <c r="C8" s="5" t="inlineStr">
        <is>
          <t>Spot mensual por periodo P1…P6 (calendario 3.0TD/6.1TD, con temporadas). Cada mes solo cotiza los periodos de SU temporada, más P6.</t>
        </is>
      </c>
    </row>
    <row r="9" ht="30" customHeight="1">
      <c r="B9" s="4" t="inlineStr">
        <is>
          <t>OMIP</t>
        </is>
      </c>
      <c r="C9" s="5" t="inlineStr">
        <is>
          <t>Futuros: curva mensual, trimestral y anual + forward 12 meses + ventana de fijación. Con consulta automática o manual (celdas amarillas).</t>
        </is>
      </c>
    </row>
    <row r="10" ht="30" customHeight="1">
      <c r="B10" s="4" t="inlineStr">
        <is>
          <t>PQ_*</t>
        </is>
      </c>
      <c r="C10" s="5" t="inlineStr">
        <is>
          <t>Zonas Power Query OPCIONALES (Guia_PowerQuery_Mercados.md). Con el actualizador automático instalado NO hacen falta: los datos llegan ya escritos.</t>
        </is>
      </c>
    </row>
    <row r="11" ht="22" customHeight="1">
      <c r="B11" s="4" t="inlineStr"/>
      <c r="C11" s="5" t="inlineStr"/>
    </row>
    <row r="12" ht="30" customHeight="1">
      <c r="B12" s="2" t="inlineStr"/>
      <c r="C12" s="3" t="inlineStr">
        <is>
          <t>ACTUALIZACIÓN: el actualizador automático (carpeta _automatizacion) reescribe este archivo cada día a las 21:15 con OMIE (incluido el precio de MAÑANA, publicado ~13:00) y la curva OMIP del día. Tú solo abres el Excel. Si el Mac estaba apagado a esa hora, se ejecuta al encenderlo. No dejes el archivo abierto permanentemente: al estar abierto, la actualización de ese día no puede escribirse.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3" customWidth="1" min="7" max="7"/>
    <col width="11" customWidth="1" min="8" max="8"/>
    <col width="11" customWidth="1" min="9" max="9"/>
    <col width="12" customWidth="1" min="10" max="10"/>
    <col width="11" customWidth="1" min="11" max="11"/>
    <col width="3" customWidth="1" min="12" max="12"/>
    <col width="12" customWidth="1" min="17" max="17"/>
    <col width="12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</cols>
  <sheetData>
    <row r="1" ht="30" customHeight="1">
      <c r="A1" s="1" t="inlineStr">
        <is>
          <t xml:space="preserve">  OMIE — SPOT 2.0TD: histórico mensual + mes en curso</t>
        </is>
      </c>
    </row>
    <row r="2">
      <c r="A2" s="6" t="inlineStr">
        <is>
          <t>Izquierda: spot medio mensual por periodo 2.0TD (2023 → hoy; las filas hasta dic-2027 se rellenan solas con Power Query al cerrar cada mes). Centro: precios diarios del mes en curso (mín/media/máx cuartohorarios). Derecha: año en curso. VERDE = mes por debajo del umbral · ROJO = por encima. Fuente: omie.es marginalpdbc (validado 0,0% vs informe oficial OMIE).</t>
        </is>
      </c>
    </row>
    <row r="3">
      <c r="H3" s="7" t="inlineStr">
        <is>
          <t>Mes del panel →</t>
        </is>
      </c>
      <c r="I3" s="8">
        <f>IFERROR(DATE(YEAR(MAX(PQ_Diario!A:A)),MONTH(MAX(PQ_Diario!A:A)),1),DATE(2026,8,1))</f>
        <v/>
      </c>
    </row>
    <row r="4">
      <c r="A4" s="9" t="inlineStr">
        <is>
          <t>UMBRAL de color (€/MWh) — p.ej. mejor fijo del catálogo o quiebre del cliente →</t>
        </is>
      </c>
      <c r="F4" s="10" t="n">
        <v>110</v>
      </c>
      <c r="H4" s="11" t="inlineStr">
        <is>
          <t>MES EN CURSO — precios diarios (€/MWh, cuartohorario)</t>
        </is>
      </c>
      <c r="Q4" s="11" t="inlineStr">
        <is>
          <t>AÑO 2026 (€/MWh)</t>
        </is>
      </c>
    </row>
    <row r="5" ht="28" customHeight="1">
      <c r="A5" s="12" t="inlineStr">
        <is>
          <t>Mes</t>
        </is>
      </c>
      <c r="B5" s="12" t="inlineStr">
        <is>
          <t>P1 punta</t>
        </is>
      </c>
      <c r="C5" s="12" t="inlineStr">
        <is>
          <t>P2 llano</t>
        </is>
      </c>
      <c r="D5" s="12" t="inlineStr">
        <is>
          <t>P3 valle</t>
        </is>
      </c>
      <c r="E5" s="12" t="inlineStr">
        <is>
          <t>Media (€/kWh)</t>
        </is>
      </c>
      <c r="F5" s="12" t="inlineStr">
        <is>
          <t>Media (€/MWh)</t>
        </is>
      </c>
      <c r="H5" s="12" t="inlineStr">
        <is>
          <t>Día</t>
        </is>
      </c>
      <c r="I5" s="12" t="inlineStr">
        <is>
          <t>Mínimo</t>
        </is>
      </c>
      <c r="J5" s="12" t="inlineStr">
        <is>
          <t>Media</t>
        </is>
      </c>
      <c r="K5" s="12" t="inlineStr">
        <is>
          <t>Máximo</t>
        </is>
      </c>
      <c r="Q5" s="12" t="inlineStr">
        <is>
          <t>Mes</t>
        </is>
      </c>
      <c r="R5" s="12" t="inlineStr">
        <is>
          <t>Media</t>
        </is>
      </c>
    </row>
    <row r="6">
      <c r="A6" s="13" t="n">
        <v>44927</v>
      </c>
      <c r="B6" s="14">
        <f>IFERROR(VLOOKUP($A6,PQ_Mensual!$A:$D,2,0),S6)</f>
        <v/>
      </c>
      <c r="C6" s="14">
        <f>IFERROR(VLOOKUP($A6,PQ_Mensual!$A:$D,3,0),T6)</f>
        <v/>
      </c>
      <c r="D6" s="14">
        <f>IFERROR(VLOOKUP($A6,PQ_Mensual!$A:$D,4,0),U6)</f>
        <v/>
      </c>
      <c r="E6" s="14">
        <f>IF(COUNT(B6:D6)=0,"",AVERAGE(B6:D6))</f>
        <v/>
      </c>
      <c r="F6" s="15">
        <f>IF(E6="","",E6*1000)</f>
        <v/>
      </c>
      <c r="H6" s="16">
        <f>IF(1&gt;DAY(EOMONTH($I$3,0)),"",DATE(YEAR($I$3),MONTH($I$3),1))</f>
        <v/>
      </c>
      <c r="I6" s="17">
        <f>IF($H6="","",IFERROR(VLOOKUP($H6,PQ_Diario!$A:$D,2,0),V6))</f>
        <v/>
      </c>
      <c r="J6" s="17">
        <f>IF($H6="","",IFERROR(VLOOKUP($H6,PQ_Diario!$A:$D,3,0),W6))</f>
        <v/>
      </c>
      <c r="K6" s="17">
        <f>IF($H6="","",IFERROR(VLOOKUP($H6,PQ_Diario!$A:$D,4,0),X6))</f>
        <v/>
      </c>
      <c r="Q6" s="18">
        <f>A42</f>
        <v/>
      </c>
      <c r="R6" s="15">
        <f>IF(F42="","",F42)</f>
        <v/>
      </c>
      <c r="S6" s="19" t="n">
        <v>0.10304</v>
      </c>
      <c r="T6" s="19" t="n">
        <v>0.08527999999999999</v>
      </c>
      <c r="U6" s="19" t="n">
        <v>0.04928</v>
      </c>
      <c r="V6" s="20" t="n">
        <v>0.29</v>
      </c>
      <c r="W6" s="20" t="n">
        <v>111.68</v>
      </c>
      <c r="X6" s="20" t="n">
        <v>198.69</v>
      </c>
    </row>
    <row r="7">
      <c r="A7" s="13" t="n">
        <v>44958</v>
      </c>
      <c r="B7" s="14">
        <f>IFERROR(VLOOKUP($A7,PQ_Mensual!$A:$D,2,0),S7)</f>
        <v/>
      </c>
      <c r="C7" s="14">
        <f>IFERROR(VLOOKUP($A7,PQ_Mensual!$A:$D,3,0),T7)</f>
        <v/>
      </c>
      <c r="D7" s="14">
        <f>IFERROR(VLOOKUP($A7,PQ_Mensual!$A:$D,4,0),U7)</f>
        <v/>
      </c>
      <c r="E7" s="14">
        <f>IF(COUNT(B7:D7)=0,"",AVERAGE(B7:D7))</f>
        <v/>
      </c>
      <c r="F7" s="15">
        <f>IF(E7="","",E7*1000)</f>
        <v/>
      </c>
      <c r="H7" s="16">
        <f>IF(2&gt;DAY(EOMONTH($I$3,0)),"",DATE(YEAR($I$3),MONTH($I$3),2))</f>
        <v/>
      </c>
      <c r="I7" s="17">
        <f>IF($H7="","",IFERROR(VLOOKUP($H7,PQ_Diario!$A:$D,2,0),V7))</f>
        <v/>
      </c>
      <c r="J7" s="17">
        <f>IF($H7="","",IFERROR(VLOOKUP($H7,PQ_Diario!$A:$D,3,0),W7))</f>
        <v/>
      </c>
      <c r="K7" s="17">
        <f>IF($H7="","",IFERROR(VLOOKUP($H7,PQ_Diario!$A:$D,4,0),X7))</f>
        <v/>
      </c>
      <c r="Q7" s="18">
        <f>A43</f>
        <v/>
      </c>
      <c r="R7" s="15">
        <f>IF(F43="","",F43)</f>
        <v/>
      </c>
      <c r="S7" s="19" t="n">
        <v>0.14863</v>
      </c>
      <c r="T7" s="19" t="n">
        <v>0.14111</v>
      </c>
      <c r="U7" s="19" t="n">
        <v>0.12311</v>
      </c>
      <c r="V7" s="20" t="n">
        <v>-0.3</v>
      </c>
      <c r="W7" s="20" t="n">
        <v>106.2</v>
      </c>
      <c r="X7" s="20" t="n">
        <v>210.3</v>
      </c>
    </row>
    <row r="8">
      <c r="A8" s="13" t="n">
        <v>44986</v>
      </c>
      <c r="B8" s="14">
        <f>IFERROR(VLOOKUP($A8,PQ_Mensual!$A:$D,2,0),S8)</f>
        <v/>
      </c>
      <c r="C8" s="14">
        <f>IFERROR(VLOOKUP($A8,PQ_Mensual!$A:$D,3,0),T8)</f>
        <v/>
      </c>
      <c r="D8" s="14">
        <f>IFERROR(VLOOKUP($A8,PQ_Mensual!$A:$D,4,0),U8)</f>
        <v/>
      </c>
      <c r="E8" s="14">
        <f>IF(COUNT(B8:D8)=0,"",AVERAGE(B8:D8))</f>
        <v/>
      </c>
      <c r="F8" s="15">
        <f>IF(E8="","",E8*1000)</f>
        <v/>
      </c>
      <c r="H8" s="16">
        <f>IF(3&gt;DAY(EOMONTH($I$3,0)),"",DATE(YEAR($I$3),MONTH($I$3),3))</f>
        <v/>
      </c>
      <c r="I8" s="17">
        <f>IF($H8="","",IFERROR(VLOOKUP($H8,PQ_Diario!$A:$D,2,0),V8))</f>
        <v/>
      </c>
      <c r="J8" s="17">
        <f>IF($H8="","",IFERROR(VLOOKUP($H8,PQ_Diario!$A:$D,3,0),W8))</f>
        <v/>
      </c>
      <c r="K8" s="17">
        <f>IF($H8="","",IFERROR(VLOOKUP($H8,PQ_Diario!$A:$D,4,0),X8))</f>
        <v/>
      </c>
      <c r="Q8" s="18">
        <f>A44</f>
        <v/>
      </c>
      <c r="R8" s="15">
        <f>IF(F44="","",F44)</f>
        <v/>
      </c>
      <c r="S8" s="19" t="n">
        <v>0.09548</v>
      </c>
      <c r="T8" s="19" t="n">
        <v>0.08709</v>
      </c>
      <c r="U8" s="19" t="n">
        <v>0.08814</v>
      </c>
      <c r="V8" s="20" t="n">
        <v>75</v>
      </c>
      <c r="W8" s="20" t="n">
        <v>151.87</v>
      </c>
      <c r="X8" s="20" t="n">
        <v>222.69</v>
      </c>
    </row>
    <row r="9">
      <c r="A9" s="13" t="n">
        <v>45017</v>
      </c>
      <c r="B9" s="14">
        <f>IFERROR(VLOOKUP($A9,PQ_Mensual!$A:$D,2,0),S9)</f>
        <v/>
      </c>
      <c r="C9" s="14">
        <f>IFERROR(VLOOKUP($A9,PQ_Mensual!$A:$D,3,0),T9)</f>
        <v/>
      </c>
      <c r="D9" s="14">
        <f>IFERROR(VLOOKUP($A9,PQ_Mensual!$A:$D,4,0),U9)</f>
        <v/>
      </c>
      <c r="E9" s="14">
        <f>IF(COUNT(B9:D9)=0,"",AVERAGE(B9:D9))</f>
        <v/>
      </c>
      <c r="F9" s="15">
        <f>IF(E9="","",E9*1000)</f>
        <v/>
      </c>
      <c r="H9" s="16">
        <f>IF(4&gt;DAY(EOMONTH($I$3,0)),"",DATE(YEAR($I$3),MONTH($I$3),4))</f>
        <v/>
      </c>
      <c r="I9" s="17">
        <f>IF($H9="","",IFERROR(VLOOKUP($H9,PQ_Diario!$A:$D,2,0),V9))</f>
        <v/>
      </c>
      <c r="J9" s="17">
        <f>IF($H9="","",IFERROR(VLOOKUP($H9,PQ_Diario!$A:$D,3,0),W9))</f>
        <v/>
      </c>
      <c r="K9" s="17">
        <f>IF($H9="","",IFERROR(VLOOKUP($H9,PQ_Diario!$A:$D,4,0),X9))</f>
        <v/>
      </c>
      <c r="Q9" s="18">
        <f>A45</f>
        <v/>
      </c>
      <c r="R9" s="15">
        <f>IF(F45="","",F45)</f>
        <v/>
      </c>
      <c r="S9" s="19" t="n">
        <v>0.08031000000000001</v>
      </c>
      <c r="T9" s="19" t="n">
        <v>0.07496999999999999</v>
      </c>
      <c r="U9" s="19" t="n">
        <v>0.07088</v>
      </c>
      <c r="V9" s="20" t="n">
        <v>69</v>
      </c>
      <c r="W9" s="20" t="n">
        <v>146.37</v>
      </c>
      <c r="X9" s="20" t="n">
        <v>212.52</v>
      </c>
    </row>
    <row r="10">
      <c r="A10" s="13" t="n">
        <v>45047</v>
      </c>
      <c r="B10" s="14">
        <f>IFERROR(VLOOKUP($A10,PQ_Mensual!$A:$D,2,0),S10)</f>
        <v/>
      </c>
      <c r="C10" s="14">
        <f>IFERROR(VLOOKUP($A10,PQ_Mensual!$A:$D,3,0),T10)</f>
        <v/>
      </c>
      <c r="D10" s="14">
        <f>IFERROR(VLOOKUP($A10,PQ_Mensual!$A:$D,4,0),U10)</f>
        <v/>
      </c>
      <c r="E10" s="14">
        <f>IF(COUNT(B10:D10)=0,"",AVERAGE(B10:D10))</f>
        <v/>
      </c>
      <c r="F10" s="15">
        <f>IF(E10="","",E10*1000)</f>
        <v/>
      </c>
      <c r="H10" s="16">
        <f>IF(5&gt;DAY(EOMONTH($I$3,0)),"",DATE(YEAR($I$3),MONTH($I$3),5))</f>
        <v/>
      </c>
      <c r="I10" s="17">
        <f>IF($H10="","",IFERROR(VLOOKUP($H10,PQ_Diario!$A:$D,2,0),V10))</f>
        <v/>
      </c>
      <c r="J10" s="17">
        <f>IF($H10="","",IFERROR(VLOOKUP($H10,PQ_Diario!$A:$D,3,0),W10))</f>
        <v/>
      </c>
      <c r="K10" s="17">
        <f>IF($H10="","",IFERROR(VLOOKUP($H10,PQ_Diario!$A:$D,4,0),X10))</f>
        <v/>
      </c>
      <c r="Q10" s="18">
        <f>A46</f>
        <v/>
      </c>
      <c r="R10" s="15">
        <f>IF(F46="","",F46)</f>
        <v/>
      </c>
      <c r="S10" s="19" t="n">
        <v>0.07675</v>
      </c>
      <c r="T10" s="19" t="n">
        <v>0.07446</v>
      </c>
      <c r="U10" s="19" t="n">
        <v>0.07295</v>
      </c>
      <c r="V10" s="20" t="n">
        <v>4</v>
      </c>
      <c r="W10" s="20" t="n">
        <v>118.92</v>
      </c>
      <c r="X10" s="20" t="n">
        <v>199.47</v>
      </c>
    </row>
    <row r="11">
      <c r="A11" s="13" t="n">
        <v>45078</v>
      </c>
      <c r="B11" s="14">
        <f>IFERROR(VLOOKUP($A11,PQ_Mensual!$A:$D,2,0),S11)</f>
        <v/>
      </c>
      <c r="C11" s="14">
        <f>IFERROR(VLOOKUP($A11,PQ_Mensual!$A:$D,3,0),T11)</f>
        <v/>
      </c>
      <c r="D11" s="14">
        <f>IFERROR(VLOOKUP($A11,PQ_Mensual!$A:$D,4,0),U11)</f>
        <v/>
      </c>
      <c r="E11" s="14">
        <f>IF(COUNT(B11:D11)=0,"",AVERAGE(B11:D11))</f>
        <v/>
      </c>
      <c r="F11" s="15">
        <f>IF(E11="","",E11*1000)</f>
        <v/>
      </c>
      <c r="H11" s="16">
        <f>IF(6&gt;DAY(EOMONTH($I$3,0)),"",DATE(YEAR($I$3),MONTH($I$3),6))</f>
        <v/>
      </c>
      <c r="I11" s="17">
        <f>IF($H11="","",IFERROR(VLOOKUP($H11,PQ_Diario!$A:$D,2,0),V11))</f>
        <v/>
      </c>
      <c r="J11" s="17">
        <f>IF($H11="","",IFERROR(VLOOKUP($H11,PQ_Diario!$A:$D,3,0),W11))</f>
        <v/>
      </c>
      <c r="K11" s="17">
        <f>IF($H11="","",IFERROR(VLOOKUP($H11,PQ_Diario!$A:$D,4,0),X11))</f>
        <v/>
      </c>
      <c r="Q11" s="18">
        <f>A47</f>
        <v/>
      </c>
      <c r="R11" s="15">
        <f>IF(F47="","",F47)</f>
        <v/>
      </c>
      <c r="S11" s="19" t="n">
        <v>0.09821000000000001</v>
      </c>
      <c r="T11" s="19" t="n">
        <v>0.09727</v>
      </c>
      <c r="U11" s="19" t="n">
        <v>0.08851000000000001</v>
      </c>
      <c r="V11" s="20" t="n">
        <v>1.5</v>
      </c>
      <c r="W11" s="20" t="n">
        <v>109.51</v>
      </c>
      <c r="X11" s="20" t="n">
        <v>209.61</v>
      </c>
    </row>
    <row r="12">
      <c r="A12" s="13" t="n">
        <v>45108</v>
      </c>
      <c r="B12" s="14">
        <f>IFERROR(VLOOKUP($A12,PQ_Mensual!$A:$D,2,0),S12)</f>
        <v/>
      </c>
      <c r="C12" s="14">
        <f>IFERROR(VLOOKUP($A12,PQ_Mensual!$A:$D,3,0),T12)</f>
        <v/>
      </c>
      <c r="D12" s="14">
        <f>IFERROR(VLOOKUP($A12,PQ_Mensual!$A:$D,4,0),U12)</f>
        <v/>
      </c>
      <c r="E12" s="14">
        <f>IF(COUNT(B12:D12)=0,"",AVERAGE(B12:D12))</f>
        <v/>
      </c>
      <c r="F12" s="15">
        <f>IF(E12="","",E12*1000)</f>
        <v/>
      </c>
      <c r="H12" s="16">
        <f>IF(7&gt;DAY(EOMONTH($I$3,0)),"",DATE(YEAR($I$3),MONTH($I$3),7))</f>
        <v/>
      </c>
      <c r="I12" s="17">
        <f>IF($H12="","",IFERROR(VLOOKUP($H12,PQ_Diario!$A:$D,2,0),V12))</f>
        <v/>
      </c>
      <c r="J12" s="17">
        <f>IF($H12="","",IFERROR(VLOOKUP($H12,PQ_Diario!$A:$D,3,0),W12))</f>
        <v/>
      </c>
      <c r="K12" s="17">
        <f>IF($H12="","",IFERROR(VLOOKUP($H12,PQ_Diario!$A:$D,4,0),X12))</f>
        <v/>
      </c>
      <c r="Q12" s="18">
        <f>A48</f>
        <v/>
      </c>
      <c r="R12" s="15">
        <f>IF(F48="","",F48)</f>
        <v/>
      </c>
      <c r="S12" s="19" t="n">
        <v>0.09830999999999999</v>
      </c>
      <c r="T12" s="19" t="n">
        <v>0.09755999999999999</v>
      </c>
      <c r="U12" s="19" t="n">
        <v>0.08432000000000001</v>
      </c>
      <c r="V12" s="20" t="n">
        <v>5</v>
      </c>
      <c r="W12" s="20" t="n">
        <v>119.03</v>
      </c>
      <c r="X12" s="20" t="n">
        <v>220</v>
      </c>
    </row>
    <row r="13">
      <c r="A13" s="13" t="n">
        <v>45139</v>
      </c>
      <c r="B13" s="14">
        <f>IFERROR(VLOOKUP($A13,PQ_Mensual!$A:$D,2,0),S13)</f>
        <v/>
      </c>
      <c r="C13" s="14">
        <f>IFERROR(VLOOKUP($A13,PQ_Mensual!$A:$D,3,0),T13)</f>
        <v/>
      </c>
      <c r="D13" s="14">
        <f>IFERROR(VLOOKUP($A13,PQ_Mensual!$A:$D,4,0),U13)</f>
        <v/>
      </c>
      <c r="E13" s="14">
        <f>IF(COUNT(B13:D13)=0,"",AVERAGE(B13:D13))</f>
        <v/>
      </c>
      <c r="F13" s="15">
        <f>IF(E13="","",E13*1000)</f>
        <v/>
      </c>
      <c r="H13" s="16">
        <f>IF(8&gt;DAY(EOMONTH($I$3,0)),"",DATE(YEAR($I$3),MONTH($I$3),8))</f>
        <v/>
      </c>
      <c r="I13" s="17">
        <f>IF($H13="","",IFERROR(VLOOKUP($H13,PQ_Diario!$A:$D,2,0),V13))</f>
        <v/>
      </c>
      <c r="J13" s="17">
        <f>IF($H13="","",IFERROR(VLOOKUP($H13,PQ_Diario!$A:$D,3,0),W13))</f>
        <v/>
      </c>
      <c r="K13" s="17">
        <f>IF($H13="","",IFERROR(VLOOKUP($H13,PQ_Diario!$A:$D,4,0),X13))</f>
        <v/>
      </c>
      <c r="Q13" s="18">
        <f>A49</f>
        <v/>
      </c>
      <c r="R13" s="15">
        <f>IF(F49="","",F49)</f>
        <v/>
      </c>
      <c r="S13" s="19" t="n">
        <v>0.10144</v>
      </c>
      <c r="T13" s="19" t="n">
        <v>0.0983</v>
      </c>
      <c r="U13" s="19" t="n">
        <v>0.09261</v>
      </c>
      <c r="V13" s="20" t="n">
        <v>0</v>
      </c>
      <c r="W13" s="20" t="n">
        <v>108.61</v>
      </c>
      <c r="X13" s="20" t="n">
        <v>191.01</v>
      </c>
    </row>
    <row r="14">
      <c r="A14" s="13" t="n">
        <v>45170</v>
      </c>
      <c r="B14" s="14">
        <f>IFERROR(VLOOKUP($A14,PQ_Mensual!$A:$D,2,0),S14)</f>
        <v/>
      </c>
      <c r="C14" s="14">
        <f>IFERROR(VLOOKUP($A14,PQ_Mensual!$A:$D,3,0),T14)</f>
        <v/>
      </c>
      <c r="D14" s="14">
        <f>IFERROR(VLOOKUP($A14,PQ_Mensual!$A:$D,4,0),U14)</f>
        <v/>
      </c>
      <c r="E14" s="14">
        <f>IF(COUNT(B14:D14)=0,"",AVERAGE(B14:D14))</f>
        <v/>
      </c>
      <c r="F14" s="15">
        <f>IF(E14="","",E14*1000)</f>
        <v/>
      </c>
      <c r="H14" s="16">
        <f>IF(9&gt;DAY(EOMONTH($I$3,0)),"",DATE(YEAR($I$3),MONTH($I$3),9))</f>
        <v/>
      </c>
      <c r="I14" s="17">
        <f>IF($H14="","",IFERROR(VLOOKUP($H14,PQ_Diario!$A:$D,2,0),V14))</f>
        <v/>
      </c>
      <c r="J14" s="17">
        <f>IF($H14="","",IFERROR(VLOOKUP($H14,PQ_Diario!$A:$D,3,0),W14))</f>
        <v/>
      </c>
      <c r="K14" s="17">
        <f>IF($H14="","",IFERROR(VLOOKUP($H14,PQ_Diario!$A:$D,4,0),X14))</f>
        <v/>
      </c>
      <c r="Q14" s="18">
        <f>A50</f>
        <v/>
      </c>
      <c r="R14" s="15">
        <f>IF(F50="","",F50)</f>
        <v/>
      </c>
      <c r="S14" s="19" t="n">
        <v>0.11233</v>
      </c>
      <c r="T14" s="19" t="n">
        <v>0.10545</v>
      </c>
      <c r="U14" s="19" t="n">
        <v>0.09848</v>
      </c>
      <c r="V14" s="20" t="n">
        <v>-0.11</v>
      </c>
      <c r="W14" s="20" t="n">
        <v>94.39</v>
      </c>
      <c r="X14" s="20" t="n">
        <v>175.73</v>
      </c>
    </row>
    <row r="15">
      <c r="A15" s="13" t="n">
        <v>45200</v>
      </c>
      <c r="B15" s="14">
        <f>IFERROR(VLOOKUP($A15,PQ_Mensual!$A:$D,2,0),S15)</f>
        <v/>
      </c>
      <c r="C15" s="14">
        <f>IFERROR(VLOOKUP($A15,PQ_Mensual!$A:$D,3,0),T15)</f>
        <v/>
      </c>
      <c r="D15" s="14">
        <f>IFERROR(VLOOKUP($A15,PQ_Mensual!$A:$D,4,0),U15)</f>
        <v/>
      </c>
      <c r="E15" s="14">
        <f>IF(COUNT(B15:D15)=0,"",AVERAGE(B15:D15))</f>
        <v/>
      </c>
      <c r="F15" s="15">
        <f>IF(E15="","",E15*1000)</f>
        <v/>
      </c>
      <c r="H15" s="16">
        <f>IF(10&gt;DAY(EOMONTH($I$3,0)),"",DATE(YEAR($I$3),MONTH($I$3),10))</f>
        <v/>
      </c>
      <c r="I15" s="17">
        <f>IF($H15="","",IFERROR(VLOOKUP($H15,PQ_Diario!$A:$D,2,0),V15))</f>
        <v/>
      </c>
      <c r="J15" s="17">
        <f>IF($H15="","",IFERROR(VLOOKUP($H15,PQ_Diario!$A:$D,3,0),W15))</f>
        <v/>
      </c>
      <c r="K15" s="17">
        <f>IF($H15="","",IFERROR(VLOOKUP($H15,PQ_Diario!$A:$D,4,0),X15))</f>
        <v/>
      </c>
      <c r="Q15" s="18">
        <f>A51</f>
        <v/>
      </c>
      <c r="R15" s="15">
        <f>IF(F51="","",F51)</f>
        <v/>
      </c>
      <c r="S15" s="19" t="n">
        <v>0.0998</v>
      </c>
      <c r="T15" s="19" t="n">
        <v>0.09149</v>
      </c>
      <c r="U15" s="19" t="n">
        <v>0.08542</v>
      </c>
      <c r="V15" s="20" t="n">
        <v>21</v>
      </c>
      <c r="W15" s="20" t="n">
        <v>126.76</v>
      </c>
      <c r="X15" s="20" t="n">
        <v>233.76</v>
      </c>
    </row>
    <row r="16">
      <c r="A16" s="13" t="n">
        <v>45231</v>
      </c>
      <c r="B16" s="14">
        <f>IFERROR(VLOOKUP($A16,PQ_Mensual!$A:$D,2,0),S16)</f>
        <v/>
      </c>
      <c r="C16" s="14">
        <f>IFERROR(VLOOKUP($A16,PQ_Mensual!$A:$D,3,0),T16)</f>
        <v/>
      </c>
      <c r="D16" s="14">
        <f>IFERROR(VLOOKUP($A16,PQ_Mensual!$A:$D,4,0),U16)</f>
        <v/>
      </c>
      <c r="E16" s="14">
        <f>IF(COUNT(B16:D16)=0,"",AVERAGE(B16:D16))</f>
        <v/>
      </c>
      <c r="F16" s="15">
        <f>IF(E16="","",E16*1000)</f>
        <v/>
      </c>
      <c r="H16" s="16">
        <f>IF(11&gt;DAY(EOMONTH($I$3,0)),"",DATE(YEAR($I$3),MONTH($I$3),11))</f>
        <v/>
      </c>
      <c r="I16" s="17">
        <f>IF($H16="","",IFERROR(VLOOKUP($H16,PQ_Diario!$A:$D,2,0),V16))</f>
        <v/>
      </c>
      <c r="J16" s="17">
        <f>IF($H16="","",IFERROR(VLOOKUP($H16,PQ_Diario!$A:$D,3,0),W16))</f>
        <v/>
      </c>
      <c r="K16" s="17">
        <f>IF($H16="","",IFERROR(VLOOKUP($H16,PQ_Diario!$A:$D,4,0),X16))</f>
        <v/>
      </c>
      <c r="Q16" s="18">
        <f>A52</f>
        <v/>
      </c>
      <c r="R16" s="15">
        <f>IF(F52="","",F52)</f>
        <v/>
      </c>
      <c r="S16" s="19" t="n">
        <v>0.08008999999999999</v>
      </c>
      <c r="T16" s="19" t="n">
        <v>0.07352</v>
      </c>
      <c r="U16" s="19" t="n">
        <v>0.05176</v>
      </c>
      <c r="V16" s="20" t="n">
        <v>12.14</v>
      </c>
      <c r="W16" s="20" t="n">
        <v>128.85</v>
      </c>
      <c r="X16" s="20" t="n">
        <v>235.51</v>
      </c>
    </row>
    <row r="17">
      <c r="A17" s="13" t="n">
        <v>45261</v>
      </c>
      <c r="B17" s="14">
        <f>IFERROR(VLOOKUP($A17,PQ_Mensual!$A:$D,2,0),S17)</f>
        <v/>
      </c>
      <c r="C17" s="14">
        <f>IFERROR(VLOOKUP($A17,PQ_Mensual!$A:$D,3,0),T17)</f>
        <v/>
      </c>
      <c r="D17" s="14">
        <f>IFERROR(VLOOKUP($A17,PQ_Mensual!$A:$D,4,0),U17)</f>
        <v/>
      </c>
      <c r="E17" s="14">
        <f>IF(COUNT(B17:D17)=0,"",AVERAGE(B17:D17))</f>
        <v/>
      </c>
      <c r="F17" s="15">
        <f>IF(E17="","",E17*1000)</f>
        <v/>
      </c>
      <c r="H17" s="16">
        <f>IF(12&gt;DAY(EOMONTH($I$3,0)),"",DATE(YEAR($I$3),MONTH($I$3),12))</f>
        <v/>
      </c>
      <c r="I17" s="17">
        <f>IF($H17="","",IFERROR(VLOOKUP($H17,PQ_Diario!$A:$D,2,0),V17))</f>
        <v/>
      </c>
      <c r="J17" s="17">
        <f>IF($H17="","",IFERROR(VLOOKUP($H17,PQ_Diario!$A:$D,3,0),W17))</f>
        <v/>
      </c>
      <c r="K17" s="17">
        <f>IF($H17="","",IFERROR(VLOOKUP($H17,PQ_Diario!$A:$D,4,0),X17))</f>
        <v/>
      </c>
      <c r="Q17" s="18">
        <f>A53</f>
        <v/>
      </c>
      <c r="R17" s="15">
        <f>IF(F53="","",F53)</f>
        <v/>
      </c>
      <c r="S17" s="19" t="n">
        <v>0.08817999999999999</v>
      </c>
      <c r="T17" s="19" t="n">
        <v>0.08316</v>
      </c>
      <c r="U17" s="19" t="n">
        <v>0.06365</v>
      </c>
      <c r="V17" s="20" t="n">
        <v>12</v>
      </c>
      <c r="W17" s="20" t="n">
        <v>135.31</v>
      </c>
      <c r="X17" s="20" t="n">
        <v>250</v>
      </c>
    </row>
    <row r="18">
      <c r="A18" s="13" t="n">
        <v>45292</v>
      </c>
      <c r="B18" s="14">
        <f>IFERROR(VLOOKUP($A18,PQ_Mensual!$A:$D,2,0),S18)</f>
        <v/>
      </c>
      <c r="C18" s="14">
        <f>IFERROR(VLOOKUP($A18,PQ_Mensual!$A:$D,3,0),T18)</f>
        <v/>
      </c>
      <c r="D18" s="14">
        <f>IFERROR(VLOOKUP($A18,PQ_Mensual!$A:$D,4,0),U18)</f>
        <v/>
      </c>
      <c r="E18" s="14">
        <f>IF(COUNT(B18:D18)=0,"",AVERAGE(B18:D18))</f>
        <v/>
      </c>
      <c r="F18" s="15">
        <f>IF(E18="","",E18*1000)</f>
        <v/>
      </c>
      <c r="H18" s="16">
        <f>IF(13&gt;DAY(EOMONTH($I$3,0)),"",DATE(YEAR($I$3),MONTH($I$3),13))</f>
        <v/>
      </c>
      <c r="I18" s="17">
        <f>IF($H18="","",IFERROR(VLOOKUP($H18,PQ_Diario!$A:$D,2,0),""))</f>
        <v/>
      </c>
      <c r="J18" s="17">
        <f>IF($H18="","",IFERROR(VLOOKUP($H18,PQ_Diario!$A:$D,3,0),""))</f>
        <v/>
      </c>
      <c r="K18" s="17">
        <f>IF($H18="","",IFERROR(VLOOKUP($H18,PQ_Diario!$A:$D,4,0),""))</f>
        <v/>
      </c>
      <c r="Q18" s="21">
        <f>$I$3</f>
        <v/>
      </c>
      <c r="R18" s="22">
        <f>J39</f>
        <v/>
      </c>
      <c r="S18" s="19" t="n">
        <v>0.08842</v>
      </c>
      <c r="T18" s="19" t="n">
        <v>0.08177</v>
      </c>
      <c r="U18" s="19" t="n">
        <v>0.06423</v>
      </c>
    </row>
    <row r="19">
      <c r="A19" s="13" t="n">
        <v>45323</v>
      </c>
      <c r="B19" s="14">
        <f>IFERROR(VLOOKUP($A19,PQ_Mensual!$A:$D,2,0),S19)</f>
        <v/>
      </c>
      <c r="C19" s="14">
        <f>IFERROR(VLOOKUP($A19,PQ_Mensual!$A:$D,3,0),T19)</f>
        <v/>
      </c>
      <c r="D19" s="14">
        <f>IFERROR(VLOOKUP($A19,PQ_Mensual!$A:$D,4,0),U19)</f>
        <v/>
      </c>
      <c r="E19" s="14">
        <f>IF(COUNT(B19:D19)=0,"",AVERAGE(B19:D19))</f>
        <v/>
      </c>
      <c r="F19" s="15">
        <f>IF(E19="","",E19*1000)</f>
        <v/>
      </c>
      <c r="H19" s="16">
        <f>IF(14&gt;DAY(EOMONTH($I$3,0)),"",DATE(YEAR($I$3),MONTH($I$3),14))</f>
        <v/>
      </c>
      <c r="I19" s="17">
        <f>IF($H19="","",IFERROR(VLOOKUP($H19,PQ_Diario!$A:$D,2,0),""))</f>
        <v/>
      </c>
      <c r="J19" s="17">
        <f>IF($H19="","",IFERROR(VLOOKUP($H19,PQ_Diario!$A:$D,3,0),""))</f>
        <v/>
      </c>
      <c r="K19" s="17">
        <f>IF($H19="","",IFERROR(VLOOKUP($H19,PQ_Diario!$A:$D,4,0),""))</f>
        <v/>
      </c>
      <c r="S19" s="19" t="n">
        <v>0.04724</v>
      </c>
      <c r="T19" s="19" t="n">
        <v>0.04088</v>
      </c>
      <c r="U19" s="19" t="n">
        <v>0.03621</v>
      </c>
    </row>
    <row r="20">
      <c r="A20" s="13" t="n">
        <v>45352</v>
      </c>
      <c r="B20" s="14">
        <f>IFERROR(VLOOKUP($A20,PQ_Mensual!$A:$D,2,0),S20)</f>
        <v/>
      </c>
      <c r="C20" s="14">
        <f>IFERROR(VLOOKUP($A20,PQ_Mensual!$A:$D,3,0),T20)</f>
        <v/>
      </c>
      <c r="D20" s="14">
        <f>IFERROR(VLOOKUP($A20,PQ_Mensual!$A:$D,4,0),U20)</f>
        <v/>
      </c>
      <c r="E20" s="14">
        <f>IF(COUNT(B20:D20)=0,"",AVERAGE(B20:D20))</f>
        <v/>
      </c>
      <c r="F20" s="15">
        <f>IF(E20="","",E20*1000)</f>
        <v/>
      </c>
      <c r="H20" s="16">
        <f>IF(15&gt;DAY(EOMONTH($I$3,0)),"",DATE(YEAR($I$3),MONTH($I$3),15))</f>
        <v/>
      </c>
      <c r="I20" s="17">
        <f>IF($H20="","",IFERROR(VLOOKUP($H20,PQ_Diario!$A:$D,2,0),""))</f>
        <v/>
      </c>
      <c r="J20" s="17">
        <f>IF($H20="","",IFERROR(VLOOKUP($H20,PQ_Diario!$A:$D,3,0),""))</f>
        <v/>
      </c>
      <c r="K20" s="17">
        <f>IF($H20="","",IFERROR(VLOOKUP($H20,PQ_Diario!$A:$D,4,0),""))</f>
        <v/>
      </c>
      <c r="S20" s="19" t="n">
        <v>0.03233</v>
      </c>
      <c r="T20" s="19" t="n">
        <v>0.02246</v>
      </c>
      <c r="U20" s="19" t="n">
        <v>0.01494</v>
      </c>
    </row>
    <row r="21">
      <c r="A21" s="13" t="n">
        <v>45383</v>
      </c>
      <c r="B21" s="14">
        <f>IFERROR(VLOOKUP($A21,PQ_Mensual!$A:$D,2,0),S21)</f>
        <v/>
      </c>
      <c r="C21" s="14">
        <f>IFERROR(VLOOKUP($A21,PQ_Mensual!$A:$D,3,0),T21)</f>
        <v/>
      </c>
      <c r="D21" s="14">
        <f>IFERROR(VLOOKUP($A21,PQ_Mensual!$A:$D,4,0),U21)</f>
        <v/>
      </c>
      <c r="E21" s="14">
        <f>IF(COUNT(B21:D21)=0,"",AVERAGE(B21:D21))</f>
        <v/>
      </c>
      <c r="F21" s="15">
        <f>IF(E21="","",E21*1000)</f>
        <v/>
      </c>
      <c r="H21" s="16">
        <f>IF(16&gt;DAY(EOMONTH($I$3,0)),"",DATE(YEAR($I$3),MONTH($I$3),16))</f>
        <v/>
      </c>
      <c r="I21" s="17">
        <f>IF($H21="","",IFERROR(VLOOKUP($H21,PQ_Diario!$A:$D,2,0),""))</f>
        <v/>
      </c>
      <c r="J21" s="17">
        <f>IF($H21="","",IFERROR(VLOOKUP($H21,PQ_Diario!$A:$D,3,0),""))</f>
        <v/>
      </c>
      <c r="K21" s="17">
        <f>IF($H21="","",IFERROR(VLOOKUP($H21,PQ_Diario!$A:$D,4,0),""))</f>
        <v/>
      </c>
      <c r="S21" s="19" t="n">
        <v>0.01418</v>
      </c>
      <c r="T21" s="19" t="n">
        <v>0.0138</v>
      </c>
      <c r="U21" s="19" t="n">
        <v>0.01337</v>
      </c>
    </row>
    <row r="22">
      <c r="A22" s="13" t="n">
        <v>45413</v>
      </c>
      <c r="B22" s="14">
        <f>IFERROR(VLOOKUP($A22,PQ_Mensual!$A:$D,2,0),S22)</f>
        <v/>
      </c>
      <c r="C22" s="14">
        <f>IFERROR(VLOOKUP($A22,PQ_Mensual!$A:$D,3,0),T22)</f>
        <v/>
      </c>
      <c r="D22" s="14">
        <f>IFERROR(VLOOKUP($A22,PQ_Mensual!$A:$D,4,0),U22)</f>
        <v/>
      </c>
      <c r="E22" s="14">
        <f>IF(COUNT(B22:D22)=0,"",AVERAGE(B22:D22))</f>
        <v/>
      </c>
      <c r="F22" s="15">
        <f>IF(E22="","",E22*1000)</f>
        <v/>
      </c>
      <c r="H22" s="16">
        <f>IF(17&gt;DAY(EOMONTH($I$3,0)),"",DATE(YEAR($I$3),MONTH($I$3),17))</f>
        <v/>
      </c>
      <c r="I22" s="17">
        <f>IF($H22="","",IFERROR(VLOOKUP($H22,PQ_Diario!$A:$D,2,0),""))</f>
        <v/>
      </c>
      <c r="J22" s="17">
        <f>IF($H22="","",IFERROR(VLOOKUP($H22,PQ_Diario!$A:$D,3,0),""))</f>
        <v/>
      </c>
      <c r="K22" s="17">
        <f>IF($H22="","",IFERROR(VLOOKUP($H22,PQ_Diario!$A:$D,4,0),""))</f>
        <v/>
      </c>
      <c r="S22" s="19" t="n">
        <v>0.02666</v>
      </c>
      <c r="T22" s="19" t="n">
        <v>0.02822</v>
      </c>
      <c r="U22" s="19" t="n">
        <v>0.03306</v>
      </c>
    </row>
    <row r="23">
      <c r="A23" s="13" t="n">
        <v>45444</v>
      </c>
      <c r="B23" s="14">
        <f>IFERROR(VLOOKUP($A23,PQ_Mensual!$A:$D,2,0),S23)</f>
        <v/>
      </c>
      <c r="C23" s="14">
        <f>IFERROR(VLOOKUP($A23,PQ_Mensual!$A:$D,3,0),T23)</f>
        <v/>
      </c>
      <c r="D23" s="14">
        <f>IFERROR(VLOOKUP($A23,PQ_Mensual!$A:$D,4,0),U23)</f>
        <v/>
      </c>
      <c r="E23" s="14">
        <f>IF(COUNT(B23:D23)=0,"",AVERAGE(B23:D23))</f>
        <v/>
      </c>
      <c r="F23" s="15">
        <f>IF(E23="","",E23*1000)</f>
        <v/>
      </c>
      <c r="H23" s="16">
        <f>IF(18&gt;DAY(EOMONTH($I$3,0)),"",DATE(YEAR($I$3),MONTH($I$3),18))</f>
        <v/>
      </c>
      <c r="I23" s="17">
        <f>IF($H23="","",IFERROR(VLOOKUP($H23,PQ_Diario!$A:$D,2,0),""))</f>
        <v/>
      </c>
      <c r="J23" s="17">
        <f>IF($H23="","",IFERROR(VLOOKUP($H23,PQ_Diario!$A:$D,3,0),""))</f>
        <v/>
      </c>
      <c r="K23" s="17">
        <f>IF($H23="","",IFERROR(VLOOKUP($H23,PQ_Diario!$A:$D,4,0),""))</f>
        <v/>
      </c>
      <c r="S23" s="19" t="n">
        <v>0.06157</v>
      </c>
      <c r="T23" s="19" t="n">
        <v>0.06107</v>
      </c>
      <c r="U23" s="19" t="n">
        <v>0.05189</v>
      </c>
    </row>
    <row r="24">
      <c r="A24" s="13" t="n">
        <v>45474</v>
      </c>
      <c r="B24" s="14">
        <f>IFERROR(VLOOKUP($A24,PQ_Mensual!$A:$D,2,0),S24)</f>
        <v/>
      </c>
      <c r="C24" s="14">
        <f>IFERROR(VLOOKUP($A24,PQ_Mensual!$A:$D,3,0),T24)</f>
        <v/>
      </c>
      <c r="D24" s="14">
        <f>IFERROR(VLOOKUP($A24,PQ_Mensual!$A:$D,4,0),U24)</f>
        <v/>
      </c>
      <c r="E24" s="14">
        <f>IF(COUNT(B24:D24)=0,"",AVERAGE(B24:D24))</f>
        <v/>
      </c>
      <c r="F24" s="15">
        <f>IF(E24="","",E24*1000)</f>
        <v/>
      </c>
      <c r="H24" s="16">
        <f>IF(19&gt;DAY(EOMONTH($I$3,0)),"",DATE(YEAR($I$3),MONTH($I$3),19))</f>
        <v/>
      </c>
      <c r="I24" s="17">
        <f>IF($H24="","",IFERROR(VLOOKUP($H24,PQ_Diario!$A:$D,2,0),""))</f>
        <v/>
      </c>
      <c r="J24" s="17">
        <f>IF($H24="","",IFERROR(VLOOKUP($H24,PQ_Diario!$A:$D,3,0),""))</f>
        <v/>
      </c>
      <c r="K24" s="17">
        <f>IF($H24="","",IFERROR(VLOOKUP($H24,PQ_Diario!$A:$D,4,0),""))</f>
        <v/>
      </c>
      <c r="S24" s="19" t="n">
        <v>0.07452</v>
      </c>
      <c r="T24" s="19" t="n">
        <v>0.07392</v>
      </c>
      <c r="U24" s="19" t="n">
        <v>0.07045</v>
      </c>
    </row>
    <row r="25">
      <c r="A25" s="13" t="n">
        <v>45505</v>
      </c>
      <c r="B25" s="14">
        <f>IFERROR(VLOOKUP($A25,PQ_Mensual!$A:$D,2,0),S25)</f>
        <v/>
      </c>
      <c r="C25" s="14">
        <f>IFERROR(VLOOKUP($A25,PQ_Mensual!$A:$D,3,0),T25)</f>
        <v/>
      </c>
      <c r="D25" s="14">
        <f>IFERROR(VLOOKUP($A25,PQ_Mensual!$A:$D,4,0),U25)</f>
        <v/>
      </c>
      <c r="E25" s="14">
        <f>IF(COUNT(B25:D25)=0,"",AVERAGE(B25:D25))</f>
        <v/>
      </c>
      <c r="F25" s="15">
        <f>IF(E25="","",E25*1000)</f>
        <v/>
      </c>
      <c r="H25" s="16">
        <f>IF(20&gt;DAY(EOMONTH($I$3,0)),"",DATE(YEAR($I$3),MONTH($I$3),20))</f>
        <v/>
      </c>
      <c r="I25" s="17">
        <f>IF($H25="","",IFERROR(VLOOKUP($H25,PQ_Diario!$A:$D,2,0),""))</f>
        <v/>
      </c>
      <c r="J25" s="17">
        <f>IF($H25="","",IFERROR(VLOOKUP($H25,PQ_Diario!$A:$D,3,0),""))</f>
        <v/>
      </c>
      <c r="K25" s="17">
        <f>IF($H25="","",IFERROR(VLOOKUP($H25,PQ_Diario!$A:$D,4,0),""))</f>
        <v/>
      </c>
      <c r="S25" s="19" t="n">
        <v>0.09821000000000001</v>
      </c>
      <c r="T25" s="19" t="n">
        <v>0.09719</v>
      </c>
      <c r="U25" s="19" t="n">
        <v>0.08558</v>
      </c>
    </row>
    <row r="26">
      <c r="A26" s="13" t="n">
        <v>45536</v>
      </c>
      <c r="B26" s="14">
        <f>IFERROR(VLOOKUP($A26,PQ_Mensual!$A:$D,2,0),S26)</f>
        <v/>
      </c>
      <c r="C26" s="14">
        <f>IFERROR(VLOOKUP($A26,PQ_Mensual!$A:$D,3,0),T26)</f>
        <v/>
      </c>
      <c r="D26" s="14">
        <f>IFERROR(VLOOKUP($A26,PQ_Mensual!$A:$D,4,0),U26)</f>
        <v/>
      </c>
      <c r="E26" s="14">
        <f>IF(COUNT(B26:D26)=0,"",AVERAGE(B26:D26))</f>
        <v/>
      </c>
      <c r="F26" s="15">
        <f>IF(E26="","",E26*1000)</f>
        <v/>
      </c>
      <c r="H26" s="16">
        <f>IF(21&gt;DAY(EOMONTH($I$3,0)),"",DATE(YEAR($I$3),MONTH($I$3),21))</f>
        <v/>
      </c>
      <c r="I26" s="17">
        <f>IF($H26="","",IFERROR(VLOOKUP($H26,PQ_Diario!$A:$D,2,0),""))</f>
        <v/>
      </c>
      <c r="J26" s="17">
        <f>IF($H26="","",IFERROR(VLOOKUP($H26,PQ_Diario!$A:$D,3,0),""))</f>
        <v/>
      </c>
      <c r="K26" s="17">
        <f>IF($H26="","",IFERROR(VLOOKUP($H26,PQ_Diario!$A:$D,4,0),""))</f>
        <v/>
      </c>
      <c r="S26" s="19" t="n">
        <v>0.07683</v>
      </c>
      <c r="T26" s="19" t="n">
        <v>0.06870999999999999</v>
      </c>
      <c r="U26" s="19" t="n">
        <v>0.0725</v>
      </c>
    </row>
    <row r="27">
      <c r="A27" s="13" t="n">
        <v>45566</v>
      </c>
      <c r="B27" s="14">
        <f>IFERROR(VLOOKUP($A27,PQ_Mensual!$A:$D,2,0),S27)</f>
        <v/>
      </c>
      <c r="C27" s="14">
        <f>IFERROR(VLOOKUP($A27,PQ_Mensual!$A:$D,3,0),T27)</f>
        <v/>
      </c>
      <c r="D27" s="14">
        <f>IFERROR(VLOOKUP($A27,PQ_Mensual!$A:$D,4,0),U27)</f>
        <v/>
      </c>
      <c r="E27" s="14">
        <f>IF(COUNT(B27:D27)=0,"",AVERAGE(B27:D27))</f>
        <v/>
      </c>
      <c r="F27" s="15">
        <f>IF(E27="","",E27*1000)</f>
        <v/>
      </c>
      <c r="H27" s="16">
        <f>IF(22&gt;DAY(EOMONTH($I$3,0)),"",DATE(YEAR($I$3),MONTH($I$3),22))</f>
        <v/>
      </c>
      <c r="I27" s="17">
        <f>IF($H27="","",IFERROR(VLOOKUP($H27,PQ_Diario!$A:$D,2,0),""))</f>
        <v/>
      </c>
      <c r="J27" s="17">
        <f>IF($H27="","",IFERROR(VLOOKUP($H27,PQ_Diario!$A:$D,3,0),""))</f>
        <v/>
      </c>
      <c r="K27" s="17">
        <f>IF($H27="","",IFERROR(VLOOKUP($H27,PQ_Diario!$A:$D,4,0),""))</f>
        <v/>
      </c>
      <c r="S27" s="19" t="n">
        <v>0.08348</v>
      </c>
      <c r="T27" s="19" t="n">
        <v>0.07217999999999999</v>
      </c>
      <c r="U27" s="19" t="n">
        <v>0.0595</v>
      </c>
    </row>
    <row r="28">
      <c r="A28" s="13" t="n">
        <v>45597</v>
      </c>
      <c r="B28" s="14">
        <f>IFERROR(VLOOKUP($A28,PQ_Mensual!$A:$D,2,0),S28)</f>
        <v/>
      </c>
      <c r="C28" s="14">
        <f>IFERROR(VLOOKUP($A28,PQ_Mensual!$A:$D,3,0),T28)</f>
        <v/>
      </c>
      <c r="D28" s="14">
        <f>IFERROR(VLOOKUP($A28,PQ_Mensual!$A:$D,4,0),U28)</f>
        <v/>
      </c>
      <c r="E28" s="14">
        <f>IF(COUNT(B28:D28)=0,"",AVERAGE(B28:D28))</f>
        <v/>
      </c>
      <c r="F28" s="15">
        <f>IF(E28="","",E28*1000)</f>
        <v/>
      </c>
      <c r="H28" s="16">
        <f>IF(23&gt;DAY(EOMONTH($I$3,0)),"",DATE(YEAR($I$3),MONTH($I$3),23))</f>
        <v/>
      </c>
      <c r="I28" s="17">
        <f>IF($H28="","",IFERROR(VLOOKUP($H28,PQ_Diario!$A:$D,2,0),""))</f>
        <v/>
      </c>
      <c r="J28" s="17">
        <f>IF($H28="","",IFERROR(VLOOKUP($H28,PQ_Diario!$A:$D,3,0),""))</f>
        <v/>
      </c>
      <c r="K28" s="17">
        <f>IF($H28="","",IFERROR(VLOOKUP($H28,PQ_Diario!$A:$D,4,0),""))</f>
        <v/>
      </c>
      <c r="S28" s="19" t="n">
        <v>0.11843</v>
      </c>
      <c r="T28" s="19" t="n">
        <v>0.11628</v>
      </c>
      <c r="U28" s="19" t="n">
        <v>0.09408999999999999</v>
      </c>
    </row>
    <row r="29">
      <c r="A29" s="13" t="n">
        <v>45627</v>
      </c>
      <c r="B29" s="14">
        <f>IFERROR(VLOOKUP($A29,PQ_Mensual!$A:$D,2,0),S29)</f>
        <v/>
      </c>
      <c r="C29" s="14">
        <f>IFERROR(VLOOKUP($A29,PQ_Mensual!$A:$D,3,0),T29)</f>
        <v/>
      </c>
      <c r="D29" s="14">
        <f>IFERROR(VLOOKUP($A29,PQ_Mensual!$A:$D,4,0),U29)</f>
        <v/>
      </c>
      <c r="E29" s="14">
        <f>IF(COUNT(B29:D29)=0,"",AVERAGE(B29:D29))</f>
        <v/>
      </c>
      <c r="F29" s="15">
        <f>IF(E29="","",E29*1000)</f>
        <v/>
      </c>
      <c r="H29" s="16">
        <f>IF(24&gt;DAY(EOMONTH($I$3,0)),"",DATE(YEAR($I$3),MONTH($I$3),24))</f>
        <v/>
      </c>
      <c r="I29" s="17">
        <f>IF($H29="","",IFERROR(VLOOKUP($H29,PQ_Diario!$A:$D,2,0),""))</f>
        <v/>
      </c>
      <c r="J29" s="17">
        <f>IF($H29="","",IFERROR(VLOOKUP($H29,PQ_Diario!$A:$D,3,0),""))</f>
        <v/>
      </c>
      <c r="K29" s="17">
        <f>IF($H29="","",IFERROR(VLOOKUP($H29,PQ_Diario!$A:$D,4,0),""))</f>
        <v/>
      </c>
      <c r="S29" s="19" t="n">
        <v>0.1267</v>
      </c>
      <c r="T29" s="19" t="n">
        <v>0.12543</v>
      </c>
      <c r="U29" s="19" t="n">
        <v>0.10005</v>
      </c>
    </row>
    <row r="30">
      <c r="A30" s="13" t="n">
        <v>45658</v>
      </c>
      <c r="B30" s="14">
        <f>IFERROR(VLOOKUP($A30,PQ_Mensual!$A:$D,2,0),S30)</f>
        <v/>
      </c>
      <c r="C30" s="14">
        <f>IFERROR(VLOOKUP($A30,PQ_Mensual!$A:$D,3,0),T30)</f>
        <v/>
      </c>
      <c r="D30" s="14">
        <f>IFERROR(VLOOKUP($A30,PQ_Mensual!$A:$D,4,0),U30)</f>
        <v/>
      </c>
      <c r="E30" s="14">
        <f>IF(COUNT(B30:D30)=0,"",AVERAGE(B30:D30))</f>
        <v/>
      </c>
      <c r="F30" s="15">
        <f>IF(E30="","",E30*1000)</f>
        <v/>
      </c>
      <c r="H30" s="16">
        <f>IF(25&gt;DAY(EOMONTH($I$3,0)),"",DATE(YEAR($I$3),MONTH($I$3),25))</f>
        <v/>
      </c>
      <c r="I30" s="17">
        <f>IF($H30="","",IFERROR(VLOOKUP($H30,PQ_Diario!$A:$D,2,0),""))</f>
        <v/>
      </c>
      <c r="J30" s="17">
        <f>IF($H30="","",IFERROR(VLOOKUP($H30,PQ_Diario!$A:$D,3,0),""))</f>
        <v/>
      </c>
      <c r="K30" s="17">
        <f>IF($H30="","",IFERROR(VLOOKUP($H30,PQ_Diario!$A:$D,4,0),""))</f>
        <v/>
      </c>
      <c r="S30" s="19" t="n">
        <v>0.11618</v>
      </c>
      <c r="T30" s="19" t="n">
        <v>0.11035</v>
      </c>
      <c r="U30" s="19" t="n">
        <v>0.08304</v>
      </c>
    </row>
    <row r="31">
      <c r="A31" s="13" t="n">
        <v>45689</v>
      </c>
      <c r="B31" s="14">
        <f>IFERROR(VLOOKUP($A31,PQ_Mensual!$A:$D,2,0),S31)</f>
        <v/>
      </c>
      <c r="C31" s="14">
        <f>IFERROR(VLOOKUP($A31,PQ_Mensual!$A:$D,3,0),T31)</f>
        <v/>
      </c>
      <c r="D31" s="14">
        <f>IFERROR(VLOOKUP($A31,PQ_Mensual!$A:$D,4,0),U31)</f>
        <v/>
      </c>
      <c r="E31" s="14">
        <f>IF(COUNT(B31:D31)=0,"",AVERAGE(B31:D31))</f>
        <v/>
      </c>
      <c r="F31" s="15">
        <f>IF(E31="","",E31*1000)</f>
        <v/>
      </c>
      <c r="H31" s="16">
        <f>IF(26&gt;DAY(EOMONTH($I$3,0)),"",DATE(YEAR($I$3),MONTH($I$3),26))</f>
        <v/>
      </c>
      <c r="I31" s="17">
        <f>IF($H31="","",IFERROR(VLOOKUP($H31,PQ_Diario!$A:$D,2,0),""))</f>
        <v/>
      </c>
      <c r="J31" s="17">
        <f>IF($H31="","",IFERROR(VLOOKUP($H31,PQ_Diario!$A:$D,3,0),""))</f>
        <v/>
      </c>
      <c r="K31" s="17">
        <f>IF($H31="","",IFERROR(VLOOKUP($H31,PQ_Diario!$A:$D,4,0),""))</f>
        <v/>
      </c>
      <c r="S31" s="19" t="n">
        <v>0.1231</v>
      </c>
      <c r="T31" s="19" t="n">
        <v>0.10975</v>
      </c>
      <c r="U31" s="19" t="n">
        <v>0.10093</v>
      </c>
    </row>
    <row r="32">
      <c r="A32" s="13" t="n">
        <v>45717</v>
      </c>
      <c r="B32" s="14">
        <f>IFERROR(VLOOKUP($A32,PQ_Mensual!$A:$D,2,0),S32)</f>
        <v/>
      </c>
      <c r="C32" s="14">
        <f>IFERROR(VLOOKUP($A32,PQ_Mensual!$A:$D,3,0),T32)</f>
        <v/>
      </c>
      <c r="D32" s="14">
        <f>IFERROR(VLOOKUP($A32,PQ_Mensual!$A:$D,4,0),U32)</f>
        <v/>
      </c>
      <c r="E32" s="14">
        <f>IF(COUNT(B32:D32)=0,"",AVERAGE(B32:D32))</f>
        <v/>
      </c>
      <c r="F32" s="15">
        <f>IF(E32="","",E32*1000)</f>
        <v/>
      </c>
      <c r="H32" s="16">
        <f>IF(27&gt;DAY(EOMONTH($I$3,0)),"",DATE(YEAR($I$3),MONTH($I$3),27))</f>
        <v/>
      </c>
      <c r="I32" s="17">
        <f>IF($H32="","",IFERROR(VLOOKUP($H32,PQ_Diario!$A:$D,2,0),""))</f>
        <v/>
      </c>
      <c r="J32" s="17">
        <f>IF($H32="","",IFERROR(VLOOKUP($H32,PQ_Diario!$A:$D,3,0),""))</f>
        <v/>
      </c>
      <c r="K32" s="17">
        <f>IF($H32="","",IFERROR(VLOOKUP($H32,PQ_Diario!$A:$D,4,0),""))</f>
        <v/>
      </c>
      <c r="S32" s="19" t="n">
        <v>0.07069</v>
      </c>
      <c r="T32" s="19" t="n">
        <v>0.05524</v>
      </c>
      <c r="U32" s="19" t="n">
        <v>0.04494</v>
      </c>
    </row>
    <row r="33">
      <c r="A33" s="13" t="n">
        <v>45748</v>
      </c>
      <c r="B33" s="14">
        <f>IFERROR(VLOOKUP($A33,PQ_Mensual!$A:$D,2,0),S33)</f>
        <v/>
      </c>
      <c r="C33" s="14">
        <f>IFERROR(VLOOKUP($A33,PQ_Mensual!$A:$D,3,0),T33)</f>
        <v/>
      </c>
      <c r="D33" s="14">
        <f>IFERROR(VLOOKUP($A33,PQ_Mensual!$A:$D,4,0),U33)</f>
        <v/>
      </c>
      <c r="E33" s="14">
        <f>IF(COUNT(B33:D33)=0,"",AVERAGE(B33:D33))</f>
        <v/>
      </c>
      <c r="F33" s="15">
        <f>IF(E33="","",E33*1000)</f>
        <v/>
      </c>
      <c r="H33" s="16">
        <f>IF(28&gt;DAY(EOMONTH($I$3,0)),"",DATE(YEAR($I$3),MONTH($I$3),28))</f>
        <v/>
      </c>
      <c r="I33" s="17">
        <f>IF($H33="","",IFERROR(VLOOKUP($H33,PQ_Diario!$A:$D,2,0),""))</f>
        <v/>
      </c>
      <c r="J33" s="17">
        <f>IF($H33="","",IFERROR(VLOOKUP($H33,PQ_Diario!$A:$D,3,0),""))</f>
        <v/>
      </c>
      <c r="K33" s="17">
        <f>IF($H33="","",IFERROR(VLOOKUP($H33,PQ_Diario!$A:$D,4,0),""))</f>
        <v/>
      </c>
      <c r="S33" s="19" t="n">
        <v>0.02763</v>
      </c>
      <c r="T33" s="19" t="n">
        <v>0.02789</v>
      </c>
      <c r="U33" s="19" t="n">
        <v>0.02598</v>
      </c>
    </row>
    <row r="34">
      <c r="A34" s="13" t="n">
        <v>45778</v>
      </c>
      <c r="B34" s="14">
        <f>IFERROR(VLOOKUP($A34,PQ_Mensual!$A:$D,2,0),S34)</f>
        <v/>
      </c>
      <c r="C34" s="14">
        <f>IFERROR(VLOOKUP($A34,PQ_Mensual!$A:$D,3,0),T34)</f>
        <v/>
      </c>
      <c r="D34" s="14">
        <f>IFERROR(VLOOKUP($A34,PQ_Mensual!$A:$D,4,0),U34)</f>
        <v/>
      </c>
      <c r="E34" s="14">
        <f>IF(COUNT(B34:D34)=0,"",AVERAGE(B34:D34))</f>
        <v/>
      </c>
      <c r="F34" s="15">
        <f>IF(E34="","",E34*1000)</f>
        <v/>
      </c>
      <c r="H34" s="16">
        <f>IF(29&gt;DAY(EOMONTH($I$3,0)),"",DATE(YEAR($I$3),MONTH($I$3),29))</f>
        <v/>
      </c>
      <c r="I34" s="17">
        <f>IF($H34="","",IFERROR(VLOOKUP($H34,PQ_Diario!$A:$D,2,0),""))</f>
        <v/>
      </c>
      <c r="J34" s="17">
        <f>IF($H34="","",IFERROR(VLOOKUP($H34,PQ_Diario!$A:$D,3,0),""))</f>
        <v/>
      </c>
      <c r="K34" s="17">
        <f>IF($H34="","",IFERROR(VLOOKUP($H34,PQ_Diario!$A:$D,4,0),""))</f>
        <v/>
      </c>
      <c r="S34" s="19" t="n">
        <v>0.01629</v>
      </c>
      <c r="T34" s="19" t="n">
        <v>0.01712</v>
      </c>
      <c r="U34" s="19" t="n">
        <v>0.01711</v>
      </c>
    </row>
    <row r="35">
      <c r="A35" s="13" t="n">
        <v>45809</v>
      </c>
      <c r="B35" s="14">
        <f>IFERROR(VLOOKUP($A35,PQ_Mensual!$A:$D,2,0),S35)</f>
        <v/>
      </c>
      <c r="C35" s="14">
        <f>IFERROR(VLOOKUP($A35,PQ_Mensual!$A:$D,3,0),T35)</f>
        <v/>
      </c>
      <c r="D35" s="14">
        <f>IFERROR(VLOOKUP($A35,PQ_Mensual!$A:$D,4,0),U35)</f>
        <v/>
      </c>
      <c r="E35" s="14">
        <f>IF(COUNT(B35:D35)=0,"",AVERAGE(B35:D35))</f>
        <v/>
      </c>
      <c r="F35" s="15">
        <f>IF(E35="","",E35*1000)</f>
        <v/>
      </c>
      <c r="H35" s="16">
        <f>IF(30&gt;DAY(EOMONTH($I$3,0)),"",DATE(YEAR($I$3),MONTH($I$3),30))</f>
        <v/>
      </c>
      <c r="I35" s="17">
        <f>IF($H35="","",IFERROR(VLOOKUP($H35,PQ_Diario!$A:$D,2,0),""))</f>
        <v/>
      </c>
      <c r="J35" s="17">
        <f>IF($H35="","",IFERROR(VLOOKUP($H35,PQ_Diario!$A:$D,3,0),""))</f>
        <v/>
      </c>
      <c r="K35" s="17">
        <f>IF($H35="","",IFERROR(VLOOKUP($H35,PQ_Diario!$A:$D,4,0),""))</f>
        <v/>
      </c>
      <c r="S35" s="19" t="n">
        <v>0.07062</v>
      </c>
      <c r="T35" s="19" t="n">
        <v>0.06936</v>
      </c>
      <c r="U35" s="19" t="n">
        <v>0.07488</v>
      </c>
    </row>
    <row r="36">
      <c r="A36" s="13" t="n">
        <v>45839</v>
      </c>
      <c r="B36" s="14">
        <f>IFERROR(VLOOKUP($A36,PQ_Mensual!$A:$D,2,0),S36)</f>
        <v/>
      </c>
      <c r="C36" s="14">
        <f>IFERROR(VLOOKUP($A36,PQ_Mensual!$A:$D,3,0),T36)</f>
        <v/>
      </c>
      <c r="D36" s="14">
        <f>IFERROR(VLOOKUP($A36,PQ_Mensual!$A:$D,4,0),U36)</f>
        <v/>
      </c>
      <c r="E36" s="14">
        <f>IF(COUNT(B36:D36)=0,"",AVERAGE(B36:D36))</f>
        <v/>
      </c>
      <c r="F36" s="15">
        <f>IF(E36="","",E36*1000)</f>
        <v/>
      </c>
      <c r="H36" s="16">
        <f>IF(31&gt;DAY(EOMONTH($I$3,0)),"",DATE(YEAR($I$3),MONTH($I$3),31))</f>
        <v/>
      </c>
      <c r="I36" s="17">
        <f>IF($H36="","",IFERROR(VLOOKUP($H36,PQ_Diario!$A:$D,2,0),""))</f>
        <v/>
      </c>
      <c r="J36" s="17">
        <f>IF($H36="","",IFERROR(VLOOKUP($H36,PQ_Diario!$A:$D,3,0),""))</f>
        <v/>
      </c>
      <c r="K36" s="17">
        <f>IF($H36="","",IFERROR(VLOOKUP($H36,PQ_Diario!$A:$D,4,0),""))</f>
        <v/>
      </c>
      <c r="S36" s="19" t="n">
        <v>0.06641</v>
      </c>
      <c r="T36" s="19" t="n">
        <v>0.06963</v>
      </c>
      <c r="U36" s="19" t="n">
        <v>0.07197000000000001</v>
      </c>
    </row>
    <row r="37">
      <c r="A37" s="13" t="n">
        <v>45870</v>
      </c>
      <c r="B37" s="14">
        <f>IFERROR(VLOOKUP($A37,PQ_Mensual!$A:$D,2,0),S37)</f>
        <v/>
      </c>
      <c r="C37" s="14">
        <f>IFERROR(VLOOKUP($A37,PQ_Mensual!$A:$D,3,0),T37)</f>
        <v/>
      </c>
      <c r="D37" s="14">
        <f>IFERROR(VLOOKUP($A37,PQ_Mensual!$A:$D,4,0),U37)</f>
        <v/>
      </c>
      <c r="E37" s="14">
        <f>IF(COUNT(B37:D37)=0,"",AVERAGE(B37:D37))</f>
        <v/>
      </c>
      <c r="F37" s="15">
        <f>IF(E37="","",E37*1000)</f>
        <v/>
      </c>
      <c r="H37" s="23" t="inlineStr">
        <is>
          <t>1ª quincena</t>
        </is>
      </c>
      <c r="I37" s="24">
        <f>IFERROR(AVERAGE(I6:I20),0)</f>
        <v/>
      </c>
      <c r="J37" s="24">
        <f>IFERROR(AVERAGE(J6:J20),0)</f>
        <v/>
      </c>
      <c r="K37" s="24">
        <f>IFERROR(AVERAGE(K6:K20),0)</f>
        <v/>
      </c>
      <c r="S37" s="19" t="n">
        <v>0.06575</v>
      </c>
      <c r="T37" s="19" t="n">
        <v>0.06478</v>
      </c>
      <c r="U37" s="19" t="n">
        <v>0.07084</v>
      </c>
    </row>
    <row r="38">
      <c r="A38" s="13" t="n">
        <v>45901</v>
      </c>
      <c r="B38" s="14">
        <f>IFERROR(VLOOKUP($A38,PQ_Mensual!$A:$D,2,0),S38)</f>
        <v/>
      </c>
      <c r="C38" s="14">
        <f>IFERROR(VLOOKUP($A38,PQ_Mensual!$A:$D,3,0),T38)</f>
        <v/>
      </c>
      <c r="D38" s="14">
        <f>IFERROR(VLOOKUP($A38,PQ_Mensual!$A:$D,4,0),U38)</f>
        <v/>
      </c>
      <c r="E38" s="14">
        <f>IF(COUNT(B38:D38)=0,"",AVERAGE(B38:D38))</f>
        <v/>
      </c>
      <c r="F38" s="15">
        <f>IF(E38="","",E38*1000)</f>
        <v/>
      </c>
      <c r="H38" s="23" t="inlineStr">
        <is>
          <t>2ª quincena</t>
        </is>
      </c>
      <c r="I38" s="24">
        <f>IFERROR(AVERAGE(I21:I36),0)</f>
        <v/>
      </c>
      <c r="J38" s="24">
        <f>IFERROR(AVERAGE(J21:J36),0)</f>
        <v/>
      </c>
      <c r="K38" s="24">
        <f>IFERROR(AVERAGE(K21:K36),0)</f>
        <v/>
      </c>
      <c r="S38" s="19" t="n">
        <v>0.06124</v>
      </c>
      <c r="T38" s="19" t="n">
        <v>0.05401</v>
      </c>
      <c r="U38" s="19" t="n">
        <v>0.06431000000000001</v>
      </c>
    </row>
    <row r="39">
      <c r="A39" s="13" t="n">
        <v>45931</v>
      </c>
      <c r="B39" s="14">
        <f>IFERROR(VLOOKUP($A39,PQ_Mensual!$A:$D,2,0),S39)</f>
        <v/>
      </c>
      <c r="C39" s="14">
        <f>IFERROR(VLOOKUP($A39,PQ_Mensual!$A:$D,3,0),T39)</f>
        <v/>
      </c>
      <c r="D39" s="14">
        <f>IFERROR(VLOOKUP($A39,PQ_Mensual!$A:$D,4,0),U39)</f>
        <v/>
      </c>
      <c r="E39" s="14">
        <f>IF(COUNT(B39:D39)=0,"",AVERAGE(B39:D39))</f>
        <v/>
      </c>
      <c r="F39" s="15">
        <f>IF(E39="","",E39*1000)</f>
        <v/>
      </c>
      <c r="H39" s="25" t="inlineStr">
        <is>
          <t>MEDIA MES</t>
        </is>
      </c>
      <c r="I39" s="26">
        <f>IFERROR(AVERAGE(I6:I36),0)</f>
        <v/>
      </c>
      <c r="J39" s="26">
        <f>IFERROR(AVERAGE(J6:J36),0)</f>
        <v/>
      </c>
      <c r="K39" s="26">
        <f>IFERROR(AVERAGE(K6:K36),0)</f>
        <v/>
      </c>
      <c r="S39" s="19" t="n">
        <v>0.08476</v>
      </c>
      <c r="T39" s="19" t="n">
        <v>0.0762</v>
      </c>
      <c r="U39" s="19" t="n">
        <v>0.07113</v>
      </c>
    </row>
    <row r="40">
      <c r="A40" s="13" t="n">
        <v>45962</v>
      </c>
      <c r="B40" s="14">
        <f>IFERROR(VLOOKUP($A40,PQ_Mensual!$A:$D,2,0),S40)</f>
        <v/>
      </c>
      <c r="C40" s="14">
        <f>IFERROR(VLOOKUP($A40,PQ_Mensual!$A:$D,3,0),T40)</f>
        <v/>
      </c>
      <c r="D40" s="14">
        <f>IFERROR(VLOOKUP($A40,PQ_Mensual!$A:$D,4,0),U40)</f>
        <v/>
      </c>
      <c r="E40" s="14">
        <f>IF(COUNT(B40:D40)=0,"",AVERAGE(B40:D40))</f>
        <v/>
      </c>
      <c r="F40" s="15">
        <f>IF(E40="","",E40*1000)</f>
        <v/>
      </c>
      <c r="H40" s="7" t="inlineStr">
        <is>
          <t>vs media últimos 12 meses cerrados</t>
        </is>
      </c>
      <c r="J40" s="27">
        <f>IFERROR(J39/AVERAGEIF(F6:F65,"&gt;0")-1,0)</f>
        <v/>
      </c>
      <c r="S40" s="19" t="n">
        <v>0.06549000000000001</v>
      </c>
      <c r="T40" s="19" t="n">
        <v>0.06259000000000001</v>
      </c>
      <c r="U40" s="19" t="n">
        <v>0.05434</v>
      </c>
    </row>
    <row r="41">
      <c r="A41" s="13" t="n">
        <v>45992</v>
      </c>
      <c r="B41" s="14">
        <f>IFERROR(VLOOKUP($A41,PQ_Mensual!$A:$D,2,0),S41)</f>
        <v/>
      </c>
      <c r="C41" s="14">
        <f>IFERROR(VLOOKUP($A41,PQ_Mensual!$A:$D,3,0),T41)</f>
        <v/>
      </c>
      <c r="D41" s="14">
        <f>IFERROR(VLOOKUP($A41,PQ_Mensual!$A:$D,4,0),U41)</f>
        <v/>
      </c>
      <c r="E41" s="14">
        <f>IF(COUNT(B41:D41)=0,"",AVERAGE(B41:D41))</f>
        <v/>
      </c>
      <c r="F41" s="15">
        <f>IF(E41="","",E41*1000)</f>
        <v/>
      </c>
      <c r="H41" s="6" t="inlineStr">
        <is>
          <t>ORIGEN: si PQ_Mensual / PQ_Diario tienen datos (Power Query), mandan ellas; si no, valores congelados (columnas ocultas). Ver 'Guia_PowerQuery_Mercados.md'.</t>
        </is>
      </c>
      <c r="S41" s="19" t="n">
        <v>0.09125</v>
      </c>
      <c r="T41" s="19" t="n">
        <v>0.08871999999999999</v>
      </c>
      <c r="U41" s="19" t="n">
        <v>0.06796000000000001</v>
      </c>
    </row>
    <row r="42">
      <c r="A42" s="13" t="n">
        <v>46023</v>
      </c>
      <c r="B42" s="14">
        <f>IFERROR(VLOOKUP($A42,PQ_Mensual!$A:$D,2,0),S42)</f>
        <v/>
      </c>
      <c r="C42" s="14">
        <f>IFERROR(VLOOKUP($A42,PQ_Mensual!$A:$D,3,0),T42)</f>
        <v/>
      </c>
      <c r="D42" s="14">
        <f>IFERROR(VLOOKUP($A42,PQ_Mensual!$A:$D,4,0),U42)</f>
        <v/>
      </c>
      <c r="E42" s="14">
        <f>IF(COUNT(B42:D42)=0,"",AVERAGE(B42:D42))</f>
        <v/>
      </c>
      <c r="F42" s="15">
        <f>IF(E42="","",E42*1000)</f>
        <v/>
      </c>
      <c r="S42" s="19" t="n">
        <v>0.08457000000000001</v>
      </c>
      <c r="T42" s="19" t="n">
        <v>0.07729</v>
      </c>
      <c r="U42" s="19" t="n">
        <v>0.06468</v>
      </c>
    </row>
    <row r="43">
      <c r="A43" s="13" t="n">
        <v>46054</v>
      </c>
      <c r="B43" s="14">
        <f>IFERROR(VLOOKUP($A43,PQ_Mensual!$A:$D,2,0),S43)</f>
        <v/>
      </c>
      <c r="C43" s="14">
        <f>IFERROR(VLOOKUP($A43,PQ_Mensual!$A:$D,3,0),T43)</f>
        <v/>
      </c>
      <c r="D43" s="14">
        <f>IFERROR(VLOOKUP($A43,PQ_Mensual!$A:$D,4,0),U43)</f>
        <v/>
      </c>
      <c r="E43" s="14">
        <f>IF(COUNT(B43:D43)=0,"",AVERAGE(B43:D43))</f>
        <v/>
      </c>
      <c r="F43" s="15">
        <f>IF(E43="","",E43*1000)</f>
        <v/>
      </c>
      <c r="S43" s="19" t="n">
        <v>0.0284</v>
      </c>
      <c r="T43" s="19" t="n">
        <v>0.01378</v>
      </c>
      <c r="U43" s="19" t="n">
        <v>0.01216</v>
      </c>
    </row>
    <row r="44">
      <c r="A44" s="13" t="n">
        <v>46082</v>
      </c>
      <c r="B44" s="14">
        <f>IFERROR(VLOOKUP($A44,PQ_Mensual!$A:$D,2,0),S44)</f>
        <v/>
      </c>
      <c r="C44" s="14">
        <f>IFERROR(VLOOKUP($A44,PQ_Mensual!$A:$D,3,0),T44)</f>
        <v/>
      </c>
      <c r="D44" s="14">
        <f>IFERROR(VLOOKUP($A44,PQ_Mensual!$A:$D,4,0),U44)</f>
        <v/>
      </c>
      <c r="E44" s="14">
        <f>IF(COUNT(B44:D44)=0,"",AVERAGE(B44:D44))</f>
        <v/>
      </c>
      <c r="F44" s="15">
        <f>IF(E44="","",E44*1000)</f>
        <v/>
      </c>
      <c r="S44" s="19" t="n">
        <v>0.05487</v>
      </c>
      <c r="T44" s="19" t="n">
        <v>0.03848</v>
      </c>
      <c r="U44" s="19" t="n">
        <v>0.03735</v>
      </c>
    </row>
    <row r="45">
      <c r="A45" s="13" t="n">
        <v>46113</v>
      </c>
      <c r="B45" s="14">
        <f>IFERROR(VLOOKUP($A45,PQ_Mensual!$A:$D,2,0),S45)</f>
        <v/>
      </c>
      <c r="C45" s="14">
        <f>IFERROR(VLOOKUP($A45,PQ_Mensual!$A:$D,3,0),T45)</f>
        <v/>
      </c>
      <c r="D45" s="14">
        <f>IFERROR(VLOOKUP($A45,PQ_Mensual!$A:$D,4,0),U45)</f>
        <v/>
      </c>
      <c r="E45" s="14">
        <f>IF(COUNT(B45:D45)=0,"",AVERAGE(B45:D45))</f>
        <v/>
      </c>
      <c r="F45" s="15">
        <f>IF(E45="","",E45*1000)</f>
        <v/>
      </c>
      <c r="S45" s="19" t="n">
        <v>0.03736</v>
      </c>
      <c r="T45" s="19" t="n">
        <v>0.03771</v>
      </c>
      <c r="U45" s="19" t="n">
        <v>0.04674</v>
      </c>
    </row>
    <row r="46">
      <c r="A46" s="13" t="n">
        <v>46143</v>
      </c>
      <c r="B46" s="14">
        <f>IFERROR(VLOOKUP($A46,PQ_Mensual!$A:$D,2,0),S46)</f>
        <v/>
      </c>
      <c r="C46" s="14">
        <f>IFERROR(VLOOKUP($A46,PQ_Mensual!$A:$D,3,0),T46)</f>
        <v/>
      </c>
      <c r="D46" s="14">
        <f>IFERROR(VLOOKUP($A46,PQ_Mensual!$A:$D,4,0),U46)</f>
        <v/>
      </c>
      <c r="E46" s="14">
        <f>IF(COUNT(B46:D46)=0,"",AVERAGE(B46:D46))</f>
        <v/>
      </c>
      <c r="F46" s="15">
        <f>IF(E46="","",E46*1000)</f>
        <v/>
      </c>
      <c r="S46" s="19" t="n">
        <v>0.04326</v>
      </c>
      <c r="T46" s="19" t="n">
        <v>0.04813</v>
      </c>
      <c r="U46" s="19" t="n">
        <v>0.06012</v>
      </c>
    </row>
    <row r="47">
      <c r="A47" s="13" t="n">
        <v>46174</v>
      </c>
      <c r="B47" s="14">
        <f>IFERROR(VLOOKUP($A47,PQ_Mensual!$A:$D,2,0),S47)</f>
        <v/>
      </c>
      <c r="C47" s="14">
        <f>IFERROR(VLOOKUP($A47,PQ_Mensual!$A:$D,3,0),T47)</f>
        <v/>
      </c>
      <c r="D47" s="14">
        <f>IFERROR(VLOOKUP($A47,PQ_Mensual!$A:$D,4,0),U47)</f>
        <v/>
      </c>
      <c r="E47" s="14">
        <f>IF(COUNT(B47:D47)=0,"",AVERAGE(B47:D47))</f>
        <v/>
      </c>
      <c r="F47" s="15">
        <f>IF(E47="","",E47*1000)</f>
        <v/>
      </c>
      <c r="S47" s="19" t="n">
        <v>0.0555</v>
      </c>
      <c r="T47" s="19" t="n">
        <v>0.06013</v>
      </c>
      <c r="U47" s="19" t="n">
        <v>0.08086</v>
      </c>
    </row>
    <row r="48">
      <c r="A48" s="13" t="n">
        <v>46204</v>
      </c>
      <c r="B48" s="14">
        <f>IFERROR(VLOOKUP($A48,PQ_Mensual!$A:$D,2,0),S48)</f>
        <v/>
      </c>
      <c r="C48" s="14">
        <f>IFERROR(VLOOKUP($A48,PQ_Mensual!$A:$D,3,0),T48)</f>
        <v/>
      </c>
      <c r="D48" s="14">
        <f>IFERROR(VLOOKUP($A48,PQ_Mensual!$A:$D,4,0),U48)</f>
        <v/>
      </c>
      <c r="E48" s="14">
        <f>IF(COUNT(B48:D48)=0,"",AVERAGE(B48:D48))</f>
        <v/>
      </c>
      <c r="F48" s="15">
        <f>IF(E48="","",E48*1000)</f>
        <v/>
      </c>
      <c r="S48" s="19" t="n">
        <v>0.09503</v>
      </c>
      <c r="T48" s="19" t="n">
        <v>0.09886</v>
      </c>
      <c r="U48" s="19" t="n">
        <v>0.11238</v>
      </c>
    </row>
    <row r="49">
      <c r="A49" s="13" t="n">
        <v>46235</v>
      </c>
      <c r="B49" s="14">
        <f>IFERROR(VLOOKUP($A49,PQ_Mensual!$A:$D,2,0),"")</f>
        <v/>
      </c>
      <c r="C49" s="14">
        <f>IFERROR(VLOOKUP($A49,PQ_Mensual!$A:$D,3,0),"")</f>
        <v/>
      </c>
      <c r="D49" s="14">
        <f>IFERROR(VLOOKUP($A49,PQ_Mensual!$A:$D,4,0),"")</f>
        <v/>
      </c>
      <c r="E49" s="14">
        <f>IF(COUNT(B49:D49)=0,"",AVERAGE(B49:D49))</f>
        <v/>
      </c>
      <c r="F49" s="15">
        <f>IF(E49="","",E49*1000)</f>
        <v/>
      </c>
    </row>
    <row r="50">
      <c r="A50" s="13" t="n">
        <v>46266</v>
      </c>
      <c r="B50" s="14">
        <f>IFERROR(VLOOKUP($A50,PQ_Mensual!$A:$D,2,0),"")</f>
        <v/>
      </c>
      <c r="C50" s="14">
        <f>IFERROR(VLOOKUP($A50,PQ_Mensual!$A:$D,3,0),"")</f>
        <v/>
      </c>
      <c r="D50" s="14">
        <f>IFERROR(VLOOKUP($A50,PQ_Mensual!$A:$D,4,0),"")</f>
        <v/>
      </c>
      <c r="E50" s="14">
        <f>IF(COUNT(B50:D50)=0,"",AVERAGE(B50:D50))</f>
        <v/>
      </c>
      <c r="F50" s="15">
        <f>IF(E50="","",E50*1000)</f>
        <v/>
      </c>
    </row>
    <row r="51">
      <c r="A51" s="13" t="n">
        <v>46296</v>
      </c>
      <c r="B51" s="14">
        <f>IFERROR(VLOOKUP($A51,PQ_Mensual!$A:$D,2,0),"")</f>
        <v/>
      </c>
      <c r="C51" s="14">
        <f>IFERROR(VLOOKUP($A51,PQ_Mensual!$A:$D,3,0),"")</f>
        <v/>
      </c>
      <c r="D51" s="14">
        <f>IFERROR(VLOOKUP($A51,PQ_Mensual!$A:$D,4,0),"")</f>
        <v/>
      </c>
      <c r="E51" s="14">
        <f>IF(COUNT(B51:D51)=0,"",AVERAGE(B51:D51))</f>
        <v/>
      </c>
      <c r="F51" s="15">
        <f>IF(E51="","",E51*1000)</f>
        <v/>
      </c>
    </row>
    <row r="52">
      <c r="A52" s="13" t="n">
        <v>46327</v>
      </c>
      <c r="B52" s="14">
        <f>IFERROR(VLOOKUP($A52,PQ_Mensual!$A:$D,2,0),"")</f>
        <v/>
      </c>
      <c r="C52" s="14">
        <f>IFERROR(VLOOKUP($A52,PQ_Mensual!$A:$D,3,0),"")</f>
        <v/>
      </c>
      <c r="D52" s="14">
        <f>IFERROR(VLOOKUP($A52,PQ_Mensual!$A:$D,4,0),"")</f>
        <v/>
      </c>
      <c r="E52" s="14">
        <f>IF(COUNT(B52:D52)=0,"",AVERAGE(B52:D52))</f>
        <v/>
      </c>
      <c r="F52" s="15">
        <f>IF(E52="","",E52*1000)</f>
        <v/>
      </c>
    </row>
    <row r="53">
      <c r="A53" s="13" t="n">
        <v>46357</v>
      </c>
      <c r="B53" s="14">
        <f>IFERROR(VLOOKUP($A53,PQ_Mensual!$A:$D,2,0),"")</f>
        <v/>
      </c>
      <c r="C53" s="14">
        <f>IFERROR(VLOOKUP($A53,PQ_Mensual!$A:$D,3,0),"")</f>
        <v/>
      </c>
      <c r="D53" s="14">
        <f>IFERROR(VLOOKUP($A53,PQ_Mensual!$A:$D,4,0),"")</f>
        <v/>
      </c>
      <c r="E53" s="14">
        <f>IF(COUNT(B53:D53)=0,"",AVERAGE(B53:D53))</f>
        <v/>
      </c>
      <c r="F53" s="15">
        <f>IF(E53="","",E53*1000)</f>
        <v/>
      </c>
    </row>
    <row r="54">
      <c r="A54" s="13" t="n">
        <v>46388</v>
      </c>
      <c r="B54" s="14">
        <f>IFERROR(VLOOKUP($A54,PQ_Mensual!$A:$D,2,0),"")</f>
        <v/>
      </c>
      <c r="C54" s="14">
        <f>IFERROR(VLOOKUP($A54,PQ_Mensual!$A:$D,3,0),"")</f>
        <v/>
      </c>
      <c r="D54" s="14">
        <f>IFERROR(VLOOKUP($A54,PQ_Mensual!$A:$D,4,0),"")</f>
        <v/>
      </c>
      <c r="E54" s="14">
        <f>IF(COUNT(B54:D54)=0,"",AVERAGE(B54:D54))</f>
        <v/>
      </c>
      <c r="F54" s="15">
        <f>IF(E54="","",E54*1000)</f>
        <v/>
      </c>
    </row>
    <row r="55">
      <c r="A55" s="13" t="n">
        <v>46419</v>
      </c>
      <c r="B55" s="14">
        <f>IFERROR(VLOOKUP($A55,PQ_Mensual!$A:$D,2,0),"")</f>
        <v/>
      </c>
      <c r="C55" s="14">
        <f>IFERROR(VLOOKUP($A55,PQ_Mensual!$A:$D,3,0),"")</f>
        <v/>
      </c>
      <c r="D55" s="14">
        <f>IFERROR(VLOOKUP($A55,PQ_Mensual!$A:$D,4,0),"")</f>
        <v/>
      </c>
      <c r="E55" s="14">
        <f>IF(COUNT(B55:D55)=0,"",AVERAGE(B55:D55))</f>
        <v/>
      </c>
      <c r="F55" s="15">
        <f>IF(E55="","",E55*1000)</f>
        <v/>
      </c>
    </row>
    <row r="56">
      <c r="A56" s="13" t="n">
        <v>46447</v>
      </c>
      <c r="B56" s="14">
        <f>IFERROR(VLOOKUP($A56,PQ_Mensual!$A:$D,2,0),"")</f>
        <v/>
      </c>
      <c r="C56" s="14">
        <f>IFERROR(VLOOKUP($A56,PQ_Mensual!$A:$D,3,0),"")</f>
        <v/>
      </c>
      <c r="D56" s="14">
        <f>IFERROR(VLOOKUP($A56,PQ_Mensual!$A:$D,4,0),"")</f>
        <v/>
      </c>
      <c r="E56" s="14">
        <f>IF(COUNT(B56:D56)=0,"",AVERAGE(B56:D56))</f>
        <v/>
      </c>
      <c r="F56" s="15">
        <f>IF(E56="","",E56*1000)</f>
        <v/>
      </c>
    </row>
    <row r="57">
      <c r="A57" s="13" t="n">
        <v>46478</v>
      </c>
      <c r="B57" s="14">
        <f>IFERROR(VLOOKUP($A57,PQ_Mensual!$A:$D,2,0),"")</f>
        <v/>
      </c>
      <c r="C57" s="14">
        <f>IFERROR(VLOOKUP($A57,PQ_Mensual!$A:$D,3,0),"")</f>
        <v/>
      </c>
      <c r="D57" s="14">
        <f>IFERROR(VLOOKUP($A57,PQ_Mensual!$A:$D,4,0),"")</f>
        <v/>
      </c>
      <c r="E57" s="14">
        <f>IF(COUNT(B57:D57)=0,"",AVERAGE(B57:D57))</f>
        <v/>
      </c>
      <c r="F57" s="15">
        <f>IF(E57="","",E57*1000)</f>
        <v/>
      </c>
    </row>
    <row r="58">
      <c r="A58" s="13" t="n">
        <v>46508</v>
      </c>
      <c r="B58" s="14">
        <f>IFERROR(VLOOKUP($A58,PQ_Mensual!$A:$D,2,0),"")</f>
        <v/>
      </c>
      <c r="C58" s="14">
        <f>IFERROR(VLOOKUP($A58,PQ_Mensual!$A:$D,3,0),"")</f>
        <v/>
      </c>
      <c r="D58" s="14">
        <f>IFERROR(VLOOKUP($A58,PQ_Mensual!$A:$D,4,0),"")</f>
        <v/>
      </c>
      <c r="E58" s="14">
        <f>IF(COUNT(B58:D58)=0,"",AVERAGE(B58:D58))</f>
        <v/>
      </c>
      <c r="F58" s="15">
        <f>IF(E58="","",E58*1000)</f>
        <v/>
      </c>
    </row>
    <row r="59">
      <c r="A59" s="13" t="n">
        <v>46539</v>
      </c>
      <c r="B59" s="14">
        <f>IFERROR(VLOOKUP($A59,PQ_Mensual!$A:$D,2,0),"")</f>
        <v/>
      </c>
      <c r="C59" s="14">
        <f>IFERROR(VLOOKUP($A59,PQ_Mensual!$A:$D,3,0),"")</f>
        <v/>
      </c>
      <c r="D59" s="14">
        <f>IFERROR(VLOOKUP($A59,PQ_Mensual!$A:$D,4,0),"")</f>
        <v/>
      </c>
      <c r="E59" s="14">
        <f>IF(COUNT(B59:D59)=0,"",AVERAGE(B59:D59))</f>
        <v/>
      </c>
      <c r="F59" s="15">
        <f>IF(E59="","",E59*1000)</f>
        <v/>
      </c>
    </row>
    <row r="60">
      <c r="A60" s="13" t="n">
        <v>46569</v>
      </c>
      <c r="B60" s="14">
        <f>IFERROR(VLOOKUP($A60,PQ_Mensual!$A:$D,2,0),"")</f>
        <v/>
      </c>
      <c r="C60" s="14">
        <f>IFERROR(VLOOKUP($A60,PQ_Mensual!$A:$D,3,0),"")</f>
        <v/>
      </c>
      <c r="D60" s="14">
        <f>IFERROR(VLOOKUP($A60,PQ_Mensual!$A:$D,4,0),"")</f>
        <v/>
      </c>
      <c r="E60" s="14">
        <f>IF(COUNT(B60:D60)=0,"",AVERAGE(B60:D60))</f>
        <v/>
      </c>
      <c r="F60" s="15">
        <f>IF(E60="","",E60*1000)</f>
        <v/>
      </c>
    </row>
    <row r="61">
      <c r="A61" s="13" t="n">
        <v>46600</v>
      </c>
      <c r="B61" s="14">
        <f>IFERROR(VLOOKUP($A61,PQ_Mensual!$A:$D,2,0),"")</f>
        <v/>
      </c>
      <c r="C61" s="14">
        <f>IFERROR(VLOOKUP($A61,PQ_Mensual!$A:$D,3,0),"")</f>
        <v/>
      </c>
      <c r="D61" s="14">
        <f>IFERROR(VLOOKUP($A61,PQ_Mensual!$A:$D,4,0),"")</f>
        <v/>
      </c>
      <c r="E61" s="14">
        <f>IF(COUNT(B61:D61)=0,"",AVERAGE(B61:D61))</f>
        <v/>
      </c>
      <c r="F61" s="15">
        <f>IF(E61="","",E61*1000)</f>
        <v/>
      </c>
    </row>
    <row r="62">
      <c r="A62" s="13" t="n">
        <v>46631</v>
      </c>
      <c r="B62" s="14">
        <f>IFERROR(VLOOKUP($A62,PQ_Mensual!$A:$D,2,0),"")</f>
        <v/>
      </c>
      <c r="C62" s="14">
        <f>IFERROR(VLOOKUP($A62,PQ_Mensual!$A:$D,3,0),"")</f>
        <v/>
      </c>
      <c r="D62" s="14">
        <f>IFERROR(VLOOKUP($A62,PQ_Mensual!$A:$D,4,0),"")</f>
        <v/>
      </c>
      <c r="E62" s="14">
        <f>IF(COUNT(B62:D62)=0,"",AVERAGE(B62:D62))</f>
        <v/>
      </c>
      <c r="F62" s="15">
        <f>IF(E62="","",E62*1000)</f>
        <v/>
      </c>
    </row>
    <row r="63">
      <c r="A63" s="13" t="n">
        <v>46661</v>
      </c>
      <c r="B63" s="14">
        <f>IFERROR(VLOOKUP($A63,PQ_Mensual!$A:$D,2,0),"")</f>
        <v/>
      </c>
      <c r="C63" s="14">
        <f>IFERROR(VLOOKUP($A63,PQ_Mensual!$A:$D,3,0),"")</f>
        <v/>
      </c>
      <c r="D63" s="14">
        <f>IFERROR(VLOOKUP($A63,PQ_Mensual!$A:$D,4,0),"")</f>
        <v/>
      </c>
      <c r="E63" s="14">
        <f>IF(COUNT(B63:D63)=0,"",AVERAGE(B63:D63))</f>
        <v/>
      </c>
      <c r="F63" s="15">
        <f>IF(E63="","",E63*1000)</f>
        <v/>
      </c>
    </row>
    <row r="64">
      <c r="A64" s="13" t="n">
        <v>46692</v>
      </c>
      <c r="B64" s="14">
        <f>IFERROR(VLOOKUP($A64,PQ_Mensual!$A:$D,2,0),"")</f>
        <v/>
      </c>
      <c r="C64" s="14">
        <f>IFERROR(VLOOKUP($A64,PQ_Mensual!$A:$D,3,0),"")</f>
        <v/>
      </c>
      <c r="D64" s="14">
        <f>IFERROR(VLOOKUP($A64,PQ_Mensual!$A:$D,4,0),"")</f>
        <v/>
      </c>
      <c r="E64" s="14">
        <f>IF(COUNT(B64:D64)=0,"",AVERAGE(B64:D64))</f>
        <v/>
      </c>
      <c r="F64" s="15">
        <f>IF(E64="","",E64*1000)</f>
        <v/>
      </c>
    </row>
    <row r="65">
      <c r="A65" s="13" t="n">
        <v>46722</v>
      </c>
      <c r="B65" s="14">
        <f>IFERROR(VLOOKUP($A65,PQ_Mensual!$A:$D,2,0),"")</f>
        <v/>
      </c>
      <c r="C65" s="14">
        <f>IFERROR(VLOOKUP($A65,PQ_Mensual!$A:$D,3,0),"")</f>
        <v/>
      </c>
      <c r="D65" s="14">
        <f>IFERROR(VLOOKUP($A65,PQ_Mensual!$A:$D,4,0),"")</f>
        <v/>
      </c>
      <c r="E65" s="14">
        <f>IF(COUNT(B65:D65)=0,"",AVERAGE(B65:D65))</f>
        <v/>
      </c>
      <c r="F65" s="15">
        <f>IF(E65="","",E65*1000)</f>
        <v/>
      </c>
    </row>
  </sheetData>
  <mergeCells count="7">
    <mergeCell ref="H4:K4"/>
    <mergeCell ref="A4:E4"/>
    <mergeCell ref="H41:O42"/>
    <mergeCell ref="A1:R1"/>
    <mergeCell ref="A2:G3"/>
    <mergeCell ref="H40:I40"/>
    <mergeCell ref="Q4:R4"/>
  </mergeCells>
  <conditionalFormatting sqref="F6:F65">
    <cfRule type="expression" priority="1" dxfId="0">
      <formula>AND(ISNUMBER($F6),$F6&lt;$F$4)</formula>
    </cfRule>
    <cfRule type="expression" priority="2" dxfId="1">
      <formula>AND(ISNUMBER($F6),$F6&gt;=$F$4)</formula>
    </cfRule>
  </conditionalFormatting>
  <conditionalFormatting sqref="I6:I36">
    <cfRule type="expression" priority="3" dxfId="0">
      <formula>AND(ISNUMBER(I6),I6&lt;$F$4)</formula>
    </cfRule>
    <cfRule type="expression" priority="4" dxfId="1">
      <formula>AND(ISNUMBER(I6),I6&gt;=$F$4)</formula>
    </cfRule>
  </conditionalFormatting>
  <conditionalFormatting sqref="J6:J36">
    <cfRule type="expression" priority="5" dxfId="0">
      <formula>AND(ISNUMBER(J6),J6&lt;$F$4)</formula>
    </cfRule>
    <cfRule type="expression" priority="6" dxfId="1">
      <formula>AND(ISNUMBER(J6),J6&gt;=$F$4)</formula>
    </cfRule>
  </conditionalFormatting>
  <conditionalFormatting sqref="K6:K36">
    <cfRule type="expression" priority="7" dxfId="0">
      <formula>AND(ISNUMBER(K6),K6&lt;$F$4)</formula>
    </cfRule>
    <cfRule type="expression" priority="8" dxfId="1">
      <formula>AND(ISNUMBER(K6),K6&gt;=$F$4)</formula>
    </cfRule>
  </conditionalFormatting>
  <conditionalFormatting sqref="R6:R18">
    <cfRule type="expression" priority="9" dxfId="0">
      <formula>AND(ISNUMBER(R6),R6&lt;$F$4)</formula>
    </cfRule>
    <cfRule type="expression" priority="10" dxfId="1">
      <formula>AND(ISNUMBER(R6),R6&gt;=$F$4)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8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3" customWidth="1" min="8" max="8"/>
    <col width="10" customWidth="1" min="9" max="9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</cols>
  <sheetData>
    <row r="1" ht="30" customHeight="1">
      <c r="A1" s="1" t="inlineStr">
        <is>
          <t xml:space="preserve">  OMIE — SPOT 3.0TD / 6.1TD: mensual por periodo P1…P6 (con temporadas)</t>
        </is>
      </c>
    </row>
    <row r="2">
      <c r="A2" s="6" t="inlineStr">
        <is>
          <t>Mismo spot OMIE clasificado con el calendario 6 periodos (Circular 3/2020): cada mes solo cotiza los DOS periodos de su temporada + P6 (0-8h laborables, findes y festivos). Temporadas: ALTA ene/feb/jul/dic (P1-P2) · MEDIA-ALTA mar/nov (P2-P3) · MEDIA jun/ago/sep (P3-P4) · BAJA abr/may/oct (P4-P5). Las celdas grises no cotizan ese mes. Base para valorar indexados 3.0/6.1 (pool + fee) y la jugada de cierres trimestrales.</t>
        </is>
      </c>
    </row>
    <row r="3"/>
    <row r="4">
      <c r="A4" s="9" t="inlineStr">
        <is>
          <t>UMBRAL de color (€/MWh) →</t>
        </is>
      </c>
      <c r="H4" s="10" t="n">
        <v>110</v>
      </c>
    </row>
    <row r="5" ht="28" customHeight="1">
      <c r="A5" s="12" t="inlineStr">
        <is>
          <t>Mes</t>
        </is>
      </c>
      <c r="B5" s="12" t="inlineStr">
        <is>
          <t>P1</t>
        </is>
      </c>
      <c r="C5" s="12" t="inlineStr">
        <is>
          <t>P2</t>
        </is>
      </c>
      <c r="D5" s="12" t="inlineStr">
        <is>
          <t>P3</t>
        </is>
      </c>
      <c r="E5" s="12" t="inlineStr">
        <is>
          <t>P4</t>
        </is>
      </c>
      <c r="F5" s="12" t="inlineStr">
        <is>
          <t>P5</t>
        </is>
      </c>
      <c r="G5" s="12" t="inlineStr">
        <is>
          <t>P6</t>
        </is>
      </c>
      <c r="H5" s="12" t="inlineStr">
        <is>
          <t>Media (€/MWh)</t>
        </is>
      </c>
      <c r="I5" s="12" t="inlineStr">
        <is>
          <t>Temporada</t>
        </is>
      </c>
    </row>
    <row r="6">
      <c r="A6" s="13" t="n">
        <v>44927</v>
      </c>
      <c r="B6" s="14">
        <f>IFERROR(VLOOKUP($A6,PQ_Mensual6P!$A:$G,2,0),S6)</f>
        <v/>
      </c>
      <c r="C6" s="14">
        <f>IFERROR(VLOOKUP($A6,PQ_Mensual6P!$A:$G,3,0),T6)</f>
        <v/>
      </c>
      <c r="D6" s="28" t="n"/>
      <c r="E6" s="28" t="n"/>
      <c r="F6" s="28" t="n"/>
      <c r="G6" s="14">
        <f>IFERROR(VLOOKUP($A6,PQ_Mensual6P!$A:$G,7,0),X6)</f>
        <v/>
      </c>
      <c r="H6" s="15">
        <f>IF(COUNT(B6:G6)=0,"",AVERAGE(B6:G6)*1000)</f>
        <v/>
      </c>
      <c r="I6" s="29" t="inlineStr">
        <is>
          <t>ALTA</t>
        </is>
      </c>
      <c r="S6" s="19" t="n">
        <v>0.10279</v>
      </c>
      <c r="T6" s="19" t="n">
        <v>0.08305999999999999</v>
      </c>
      <c r="X6" s="19" t="n">
        <v>0.04928</v>
      </c>
    </row>
    <row r="7">
      <c r="A7" s="13" t="n">
        <v>44958</v>
      </c>
      <c r="B7" s="14">
        <f>IFERROR(VLOOKUP($A7,PQ_Mensual6P!$A:$G,2,0),S7)</f>
        <v/>
      </c>
      <c r="C7" s="14">
        <f>IFERROR(VLOOKUP($A7,PQ_Mensual6P!$A:$G,3,0),T7)</f>
        <v/>
      </c>
      <c r="D7" s="28" t="n"/>
      <c r="E7" s="28" t="n"/>
      <c r="F7" s="28" t="n"/>
      <c r="G7" s="14">
        <f>IFERROR(VLOOKUP($A7,PQ_Mensual6P!$A:$G,7,0),X7)</f>
        <v/>
      </c>
      <c r="H7" s="15">
        <f>IF(COUNT(B7:G7)=0,"",AVERAGE(B7:G7)*1000)</f>
        <v/>
      </c>
      <c r="I7" s="29" t="inlineStr">
        <is>
          <t>ALTA</t>
        </is>
      </c>
      <c r="S7" s="19" t="n">
        <v>0.14911</v>
      </c>
      <c r="T7" s="19" t="n">
        <v>0.13941</v>
      </c>
      <c r="X7" s="19" t="n">
        <v>0.12311</v>
      </c>
    </row>
    <row r="8">
      <c r="A8" s="13" t="n">
        <v>44986</v>
      </c>
      <c r="B8" s="28" t="n"/>
      <c r="C8" s="14">
        <f>IFERROR(VLOOKUP($A8,PQ_Mensual6P!$A:$G,3,0),T8)</f>
        <v/>
      </c>
      <c r="D8" s="14">
        <f>IFERROR(VLOOKUP($A8,PQ_Mensual6P!$A:$G,4,0),U8)</f>
        <v/>
      </c>
      <c r="E8" s="28" t="n"/>
      <c r="F8" s="28" t="n"/>
      <c r="G8" s="14">
        <f>IFERROR(VLOOKUP($A8,PQ_Mensual6P!$A:$G,7,0),X8)</f>
        <v/>
      </c>
      <c r="H8" s="15">
        <f>IF(COUNT(B8:G8)=0,"",AVERAGE(B8:G8)*1000)</f>
        <v/>
      </c>
      <c r="I8" s="29" t="inlineStr">
        <is>
          <t>M-ALTA</t>
        </is>
      </c>
      <c r="T8" s="19" t="n">
        <v>0.09642000000000001</v>
      </c>
      <c r="U8" s="19" t="n">
        <v>0.08468000000000001</v>
      </c>
      <c r="X8" s="19" t="n">
        <v>0.08814</v>
      </c>
    </row>
    <row r="9">
      <c r="A9" s="13" t="n">
        <v>45017</v>
      </c>
      <c r="B9" s="28" t="n"/>
      <c r="C9" s="28" t="n"/>
      <c r="D9" s="28" t="n"/>
      <c r="E9" s="14">
        <f>IFERROR(VLOOKUP($A9,PQ_Mensual6P!$A:$G,5,0),V9)</f>
        <v/>
      </c>
      <c r="F9" s="14">
        <f>IFERROR(VLOOKUP($A9,PQ_Mensual6P!$A:$G,6,0),W9)</f>
        <v/>
      </c>
      <c r="G9" s="14">
        <f>IFERROR(VLOOKUP($A9,PQ_Mensual6P!$A:$G,7,0),X9)</f>
        <v/>
      </c>
      <c r="H9" s="15">
        <f>IF(COUNT(B9:G9)=0,"",AVERAGE(B9:G9)*1000)</f>
        <v/>
      </c>
      <c r="I9" s="29" t="inlineStr">
        <is>
          <t>BAJA</t>
        </is>
      </c>
      <c r="V9" s="19" t="n">
        <v>0.08160000000000001</v>
      </c>
      <c r="W9" s="19" t="n">
        <v>0.07113</v>
      </c>
      <c r="X9" s="19" t="n">
        <v>0.0711</v>
      </c>
    </row>
    <row r="10">
      <c r="A10" s="13" t="n">
        <v>45047</v>
      </c>
      <c r="B10" s="28" t="n"/>
      <c r="C10" s="28" t="n"/>
      <c r="D10" s="28" t="n"/>
      <c r="E10" s="14">
        <f>IFERROR(VLOOKUP($A10,PQ_Mensual6P!$A:$G,5,0),V10)</f>
        <v/>
      </c>
      <c r="F10" s="14">
        <f>IFERROR(VLOOKUP($A10,PQ_Mensual6P!$A:$G,6,0),W10)</f>
        <v/>
      </c>
      <c r="G10" s="14">
        <f>IFERROR(VLOOKUP($A10,PQ_Mensual6P!$A:$G,7,0),X10)</f>
        <v/>
      </c>
      <c r="H10" s="15">
        <f>IF(COUNT(B10:G10)=0,"",AVERAGE(B10:G10)*1000)</f>
        <v/>
      </c>
      <c r="I10" s="29" t="inlineStr">
        <is>
          <t>BAJA</t>
        </is>
      </c>
      <c r="V10" s="19" t="n">
        <v>0.07783</v>
      </c>
      <c r="W10" s="19" t="n">
        <v>0.07274</v>
      </c>
      <c r="X10" s="19" t="n">
        <v>0.07295</v>
      </c>
    </row>
    <row r="11">
      <c r="A11" s="13" t="n">
        <v>45078</v>
      </c>
      <c r="B11" s="28" t="n"/>
      <c r="C11" s="28" t="n"/>
      <c r="D11" s="14">
        <f>IFERROR(VLOOKUP($A11,PQ_Mensual6P!$A:$G,4,0),U11)</f>
        <v/>
      </c>
      <c r="E11" s="14">
        <f>IFERROR(VLOOKUP($A11,PQ_Mensual6P!$A:$G,5,0),V11)</f>
        <v/>
      </c>
      <c r="F11" s="28" t="n"/>
      <c r="G11" s="14">
        <f>IFERROR(VLOOKUP($A11,PQ_Mensual6P!$A:$G,7,0),X11)</f>
        <v/>
      </c>
      <c r="H11" s="15">
        <f>IF(COUNT(B11:G11)=0,"",AVERAGE(B11:G11)*1000)</f>
        <v/>
      </c>
      <c r="I11" s="29" t="inlineStr">
        <is>
          <t>MEDIA</t>
        </is>
      </c>
      <c r="U11" s="19" t="n">
        <v>0.09868</v>
      </c>
      <c r="V11" s="19" t="n">
        <v>0.09654</v>
      </c>
      <c r="X11" s="19" t="n">
        <v>0.08851000000000001</v>
      </c>
    </row>
    <row r="12">
      <c r="A12" s="13" t="n">
        <v>45108</v>
      </c>
      <c r="B12" s="14">
        <f>IFERROR(VLOOKUP($A12,PQ_Mensual6P!$A:$G,2,0),S12)</f>
        <v/>
      </c>
      <c r="C12" s="14">
        <f>IFERROR(VLOOKUP($A12,PQ_Mensual6P!$A:$G,3,0),T12)</f>
        <v/>
      </c>
      <c r="D12" s="28" t="n"/>
      <c r="E12" s="28" t="n"/>
      <c r="F12" s="28" t="n"/>
      <c r="G12" s="14">
        <f>IFERROR(VLOOKUP($A12,PQ_Mensual6P!$A:$G,7,0),X12)</f>
        <v/>
      </c>
      <c r="H12" s="15">
        <f>IF(COUNT(B12:G12)=0,"",AVERAGE(B12:G12)*1000)</f>
        <v/>
      </c>
      <c r="I12" s="29" t="inlineStr">
        <is>
          <t>ALTA</t>
        </is>
      </c>
      <c r="S12" s="19" t="n">
        <v>0.099</v>
      </c>
      <c r="T12" s="19" t="n">
        <v>0.09657</v>
      </c>
      <c r="X12" s="19" t="n">
        <v>0.08432000000000001</v>
      </c>
    </row>
    <row r="13">
      <c r="A13" s="13" t="n">
        <v>45139</v>
      </c>
      <c r="B13" s="28" t="n"/>
      <c r="C13" s="28" t="n"/>
      <c r="D13" s="14">
        <f>IFERROR(VLOOKUP($A13,PQ_Mensual6P!$A:$G,4,0),U13)</f>
        <v/>
      </c>
      <c r="E13" s="14">
        <f>IFERROR(VLOOKUP($A13,PQ_Mensual6P!$A:$G,5,0),V13)</f>
        <v/>
      </c>
      <c r="F13" s="28" t="n"/>
      <c r="G13" s="14">
        <f>IFERROR(VLOOKUP($A13,PQ_Mensual6P!$A:$G,7,0),X13)</f>
        <v/>
      </c>
      <c r="H13" s="15">
        <f>IF(COUNT(B13:G13)=0,"",AVERAGE(B13:G13)*1000)</f>
        <v/>
      </c>
      <c r="I13" s="29" t="inlineStr">
        <is>
          <t>MEDIA</t>
        </is>
      </c>
      <c r="U13" s="19" t="n">
        <v>0.10185</v>
      </c>
      <c r="V13" s="19" t="n">
        <v>0.09733</v>
      </c>
      <c r="X13" s="19" t="n">
        <v>0.09261</v>
      </c>
    </row>
    <row r="14">
      <c r="A14" s="13" t="n">
        <v>45170</v>
      </c>
      <c r="B14" s="28" t="n"/>
      <c r="C14" s="28" t="n"/>
      <c r="D14" s="14">
        <f>IFERROR(VLOOKUP($A14,PQ_Mensual6P!$A:$G,4,0),U14)</f>
        <v/>
      </c>
      <c r="E14" s="14">
        <f>IFERROR(VLOOKUP($A14,PQ_Mensual6P!$A:$G,5,0),V14)</f>
        <v/>
      </c>
      <c r="F14" s="28" t="n"/>
      <c r="G14" s="14">
        <f>IFERROR(VLOOKUP($A14,PQ_Mensual6P!$A:$G,7,0),X14)</f>
        <v/>
      </c>
      <c r="H14" s="15">
        <f>IF(COUNT(B14:G14)=0,"",AVERAGE(B14:G14)*1000)</f>
        <v/>
      </c>
      <c r="I14" s="29" t="inlineStr">
        <is>
          <t>MEDIA</t>
        </is>
      </c>
      <c r="U14" s="19" t="n">
        <v>0.11303</v>
      </c>
      <c r="V14" s="19" t="n">
        <v>0.10356</v>
      </c>
      <c r="X14" s="19" t="n">
        <v>0.09848</v>
      </c>
    </row>
    <row r="15">
      <c r="A15" s="13" t="n">
        <v>45200</v>
      </c>
      <c r="B15" s="28" t="n"/>
      <c r="C15" s="28" t="n"/>
      <c r="D15" s="28" t="n"/>
      <c r="E15" s="14">
        <f>IFERROR(VLOOKUP($A15,PQ_Mensual6P!$A:$G,5,0),V15)</f>
        <v/>
      </c>
      <c r="F15" s="14">
        <f>IFERROR(VLOOKUP($A15,PQ_Mensual6P!$A:$G,6,0),W15)</f>
        <v/>
      </c>
      <c r="G15" s="14">
        <f>IFERROR(VLOOKUP($A15,PQ_Mensual6P!$A:$G,7,0),X15)</f>
        <v/>
      </c>
      <c r="H15" s="15">
        <f>IF(COUNT(B15:G15)=0,"",AVERAGE(B15:G15)*1000)</f>
        <v/>
      </c>
      <c r="I15" s="29" t="inlineStr">
        <is>
          <t>BAJA</t>
        </is>
      </c>
      <c r="V15" s="19" t="n">
        <v>0.10093</v>
      </c>
      <c r="W15" s="19" t="n">
        <v>0.08884</v>
      </c>
      <c r="X15" s="19" t="n">
        <v>0.08542</v>
      </c>
    </row>
    <row r="16">
      <c r="A16" s="13" t="n">
        <v>45231</v>
      </c>
      <c r="B16" s="28" t="n"/>
      <c r="C16" s="14">
        <f>IFERROR(VLOOKUP($A16,PQ_Mensual6P!$A:$G,3,0),T16)</f>
        <v/>
      </c>
      <c r="D16" s="14">
        <f>IFERROR(VLOOKUP($A16,PQ_Mensual6P!$A:$G,4,0),U16)</f>
        <v/>
      </c>
      <c r="E16" s="28" t="n"/>
      <c r="F16" s="28" t="n"/>
      <c r="G16" s="14">
        <f>IFERROR(VLOOKUP($A16,PQ_Mensual6P!$A:$G,7,0),X16)</f>
        <v/>
      </c>
      <c r="H16" s="15">
        <f>IF(COUNT(B16:G16)=0,"",AVERAGE(B16:G16)*1000)</f>
        <v/>
      </c>
      <c r="I16" s="29" t="inlineStr">
        <is>
          <t>M-ALTA</t>
        </is>
      </c>
      <c r="T16" s="19" t="n">
        <v>0.07967</v>
      </c>
      <c r="U16" s="19" t="n">
        <v>0.07312</v>
      </c>
      <c r="X16" s="19" t="n">
        <v>0.05176</v>
      </c>
    </row>
    <row r="17">
      <c r="A17" s="13" t="n">
        <v>45261</v>
      </c>
      <c r="B17" s="14">
        <f>IFERROR(VLOOKUP($A17,PQ_Mensual6P!$A:$G,2,0),S17)</f>
        <v/>
      </c>
      <c r="C17" s="14">
        <f>IFERROR(VLOOKUP($A17,PQ_Mensual6P!$A:$G,3,0),T17)</f>
        <v/>
      </c>
      <c r="D17" s="28" t="n"/>
      <c r="E17" s="28" t="n"/>
      <c r="F17" s="28" t="n"/>
      <c r="G17" s="14">
        <f>IFERROR(VLOOKUP($A17,PQ_Mensual6P!$A:$G,7,0),X17)</f>
        <v/>
      </c>
      <c r="H17" s="15">
        <f>IF(COUNT(B17:G17)=0,"",AVERAGE(B17:G17)*1000)</f>
        <v/>
      </c>
      <c r="I17" s="29" t="inlineStr">
        <is>
          <t>ALTA</t>
        </is>
      </c>
      <c r="S17" s="19" t="n">
        <v>0.08833000000000001</v>
      </c>
      <c r="T17" s="19" t="n">
        <v>0.08225</v>
      </c>
      <c r="X17" s="19" t="n">
        <v>0.06365</v>
      </c>
    </row>
    <row r="18">
      <c r="A18" s="13" t="n">
        <v>45292</v>
      </c>
      <c r="B18" s="14">
        <f>IFERROR(VLOOKUP($A18,PQ_Mensual6P!$A:$G,2,0),S18)</f>
        <v/>
      </c>
      <c r="C18" s="14">
        <f>IFERROR(VLOOKUP($A18,PQ_Mensual6P!$A:$G,3,0),T18)</f>
        <v/>
      </c>
      <c r="D18" s="28" t="n"/>
      <c r="E18" s="28" t="n"/>
      <c r="F18" s="28" t="n"/>
      <c r="G18" s="14">
        <f>IFERROR(VLOOKUP($A18,PQ_Mensual6P!$A:$G,7,0),X18)</f>
        <v/>
      </c>
      <c r="H18" s="15">
        <f>IF(COUNT(B18:G18)=0,"",AVERAGE(B18:G18)*1000)</f>
        <v/>
      </c>
      <c r="I18" s="29" t="inlineStr">
        <is>
          <t>ALTA</t>
        </is>
      </c>
      <c r="S18" s="19" t="n">
        <v>0.08869</v>
      </c>
      <c r="T18" s="19" t="n">
        <v>0.08048</v>
      </c>
      <c r="X18" s="19" t="n">
        <v>0.06423</v>
      </c>
    </row>
    <row r="19">
      <c r="A19" s="13" t="n">
        <v>45323</v>
      </c>
      <c r="B19" s="14">
        <f>IFERROR(VLOOKUP($A19,PQ_Mensual6P!$A:$G,2,0),S19)</f>
        <v/>
      </c>
      <c r="C19" s="14">
        <f>IFERROR(VLOOKUP($A19,PQ_Mensual6P!$A:$G,3,0),T19)</f>
        <v/>
      </c>
      <c r="D19" s="28" t="n"/>
      <c r="E19" s="28" t="n"/>
      <c r="F19" s="28" t="n"/>
      <c r="G19" s="14">
        <f>IFERROR(VLOOKUP($A19,PQ_Mensual6P!$A:$G,7,0),X19)</f>
        <v/>
      </c>
      <c r="H19" s="15">
        <f>IF(COUNT(B19:G19)=0,"",AVERAGE(B19:G19)*1000)</f>
        <v/>
      </c>
      <c r="I19" s="29" t="inlineStr">
        <is>
          <t>ALTA</t>
        </is>
      </c>
      <c r="S19" s="19" t="n">
        <v>0.04734</v>
      </c>
      <c r="T19" s="19" t="n">
        <v>0.03985</v>
      </c>
      <c r="X19" s="19" t="n">
        <v>0.03621</v>
      </c>
    </row>
    <row r="20">
      <c r="A20" s="13" t="n">
        <v>45352</v>
      </c>
      <c r="B20" s="28" t="n"/>
      <c r="C20" s="14">
        <f>IFERROR(VLOOKUP($A20,PQ_Mensual6P!$A:$G,3,0),T20)</f>
        <v/>
      </c>
      <c r="D20" s="14">
        <f>IFERROR(VLOOKUP($A20,PQ_Mensual6P!$A:$G,4,0),U20)</f>
        <v/>
      </c>
      <c r="E20" s="28" t="n"/>
      <c r="F20" s="28" t="n"/>
      <c r="G20" s="14">
        <f>IFERROR(VLOOKUP($A20,PQ_Mensual6P!$A:$G,7,0),X20)</f>
        <v/>
      </c>
      <c r="H20" s="15">
        <f>IF(COUNT(B20:G20)=0,"",AVERAGE(B20:G20)*1000)</f>
        <v/>
      </c>
      <c r="I20" s="29" t="inlineStr">
        <is>
          <t>M-ALTA</t>
        </is>
      </c>
      <c r="T20" s="19" t="n">
        <v>0.02995</v>
      </c>
      <c r="U20" s="19" t="n">
        <v>0.02173</v>
      </c>
      <c r="X20" s="19" t="n">
        <v>0.01531</v>
      </c>
    </row>
    <row r="21">
      <c r="A21" s="13" t="n">
        <v>45383</v>
      </c>
      <c r="B21" s="28" t="n"/>
      <c r="C21" s="28" t="n"/>
      <c r="D21" s="28" t="n"/>
      <c r="E21" s="14">
        <f>IFERROR(VLOOKUP($A21,PQ_Mensual6P!$A:$G,5,0),V21)</f>
        <v/>
      </c>
      <c r="F21" s="14">
        <f>IFERROR(VLOOKUP($A21,PQ_Mensual6P!$A:$G,6,0),W21)</f>
        <v/>
      </c>
      <c r="G21" s="14">
        <f>IFERROR(VLOOKUP($A21,PQ_Mensual6P!$A:$G,7,0),X21)</f>
        <v/>
      </c>
      <c r="H21" s="15">
        <f>IF(COUNT(B21:G21)=0,"",AVERAGE(B21:G21)*1000)</f>
        <v/>
      </c>
      <c r="I21" s="29" t="inlineStr">
        <is>
          <t>BAJA</t>
        </is>
      </c>
      <c r="V21" s="19" t="n">
        <v>0.014</v>
      </c>
      <c r="W21" s="19" t="n">
        <v>0.01397</v>
      </c>
      <c r="X21" s="19" t="n">
        <v>0.01337</v>
      </c>
    </row>
    <row r="22">
      <c r="A22" s="13" t="n">
        <v>45413</v>
      </c>
      <c r="B22" s="28" t="n"/>
      <c r="C22" s="28" t="n"/>
      <c r="D22" s="28" t="n"/>
      <c r="E22" s="14">
        <f>IFERROR(VLOOKUP($A22,PQ_Mensual6P!$A:$G,5,0),V22)</f>
        <v/>
      </c>
      <c r="F22" s="14">
        <f>IFERROR(VLOOKUP($A22,PQ_Mensual6P!$A:$G,6,0),W22)</f>
        <v/>
      </c>
      <c r="G22" s="14">
        <f>IFERROR(VLOOKUP($A22,PQ_Mensual6P!$A:$G,7,0),X22)</f>
        <v/>
      </c>
      <c r="H22" s="15">
        <f>IF(COUNT(B22:G22)=0,"",AVERAGE(B22:G22)*1000)</f>
        <v/>
      </c>
      <c r="I22" s="29" t="inlineStr">
        <is>
          <t>BAJA</t>
        </is>
      </c>
      <c r="V22" s="19" t="n">
        <v>0.02739</v>
      </c>
      <c r="W22" s="19" t="n">
        <v>0.0275</v>
      </c>
      <c r="X22" s="19" t="n">
        <v>0.03306</v>
      </c>
    </row>
    <row r="23">
      <c r="A23" s="13" t="n">
        <v>45444</v>
      </c>
      <c r="B23" s="28" t="n"/>
      <c r="C23" s="28" t="n"/>
      <c r="D23" s="14">
        <f>IFERROR(VLOOKUP($A23,PQ_Mensual6P!$A:$G,4,0),U23)</f>
        <v/>
      </c>
      <c r="E23" s="14">
        <f>IFERROR(VLOOKUP($A23,PQ_Mensual6P!$A:$G,5,0),V23)</f>
        <v/>
      </c>
      <c r="F23" s="28" t="n"/>
      <c r="G23" s="14">
        <f>IFERROR(VLOOKUP($A23,PQ_Mensual6P!$A:$G,7,0),X23)</f>
        <v/>
      </c>
      <c r="H23" s="15">
        <f>IF(COUNT(B23:G23)=0,"",AVERAGE(B23:G23)*1000)</f>
        <v/>
      </c>
      <c r="I23" s="29" t="inlineStr">
        <is>
          <t>MEDIA</t>
        </is>
      </c>
      <c r="U23" s="19" t="n">
        <v>0.06281</v>
      </c>
      <c r="V23" s="19" t="n">
        <v>0.0594</v>
      </c>
      <c r="X23" s="19" t="n">
        <v>0.05189</v>
      </c>
    </row>
    <row r="24">
      <c r="A24" s="13" t="n">
        <v>45474</v>
      </c>
      <c r="B24" s="14">
        <f>IFERROR(VLOOKUP($A24,PQ_Mensual6P!$A:$G,2,0),S24)</f>
        <v/>
      </c>
      <c r="C24" s="14">
        <f>IFERROR(VLOOKUP($A24,PQ_Mensual6P!$A:$G,3,0),T24)</f>
        <v/>
      </c>
      <c r="D24" s="28" t="n"/>
      <c r="E24" s="28" t="n"/>
      <c r="F24" s="28" t="n"/>
      <c r="G24" s="14">
        <f>IFERROR(VLOOKUP($A24,PQ_Mensual6P!$A:$G,7,0),X24)</f>
        <v/>
      </c>
      <c r="H24" s="15">
        <f>IF(COUNT(B24:G24)=0,"",AVERAGE(B24:G24)*1000)</f>
        <v/>
      </c>
      <c r="I24" s="29" t="inlineStr">
        <is>
          <t>ALTA</t>
        </is>
      </c>
      <c r="S24" s="19" t="n">
        <v>0.07517</v>
      </c>
      <c r="T24" s="19" t="n">
        <v>0.073</v>
      </c>
      <c r="X24" s="19" t="n">
        <v>0.07045</v>
      </c>
    </row>
    <row r="25">
      <c r="A25" s="13" t="n">
        <v>45505</v>
      </c>
      <c r="B25" s="28" t="n"/>
      <c r="C25" s="28" t="n"/>
      <c r="D25" s="14">
        <f>IFERROR(VLOOKUP($A25,PQ_Mensual6P!$A:$G,4,0),U25)</f>
        <v/>
      </c>
      <c r="E25" s="14">
        <f>IFERROR(VLOOKUP($A25,PQ_Mensual6P!$A:$G,5,0),V25)</f>
        <v/>
      </c>
      <c r="F25" s="28" t="n"/>
      <c r="G25" s="14">
        <f>IFERROR(VLOOKUP($A25,PQ_Mensual6P!$A:$G,7,0),X25)</f>
        <v/>
      </c>
      <c r="H25" s="15">
        <f>IF(COUNT(B25:G25)=0,"",AVERAGE(B25:G25)*1000)</f>
        <v/>
      </c>
      <c r="I25" s="29" t="inlineStr">
        <is>
          <t>MEDIA</t>
        </is>
      </c>
      <c r="U25" s="19" t="n">
        <v>0.0989</v>
      </c>
      <c r="V25" s="19" t="n">
        <v>0.09615</v>
      </c>
      <c r="X25" s="19" t="n">
        <v>0.08558</v>
      </c>
    </row>
    <row r="26">
      <c r="A26" s="13" t="n">
        <v>45536</v>
      </c>
      <c r="B26" s="28" t="n"/>
      <c r="C26" s="28" t="n"/>
      <c r="D26" s="14">
        <f>IFERROR(VLOOKUP($A26,PQ_Mensual6P!$A:$G,4,0),U26)</f>
        <v/>
      </c>
      <c r="E26" s="14">
        <f>IFERROR(VLOOKUP($A26,PQ_Mensual6P!$A:$G,5,0),V26)</f>
        <v/>
      </c>
      <c r="F26" s="28" t="n"/>
      <c r="G26" s="14">
        <f>IFERROR(VLOOKUP($A26,PQ_Mensual6P!$A:$G,7,0),X26)</f>
        <v/>
      </c>
      <c r="H26" s="15">
        <f>IF(COUNT(B26:G26)=0,"",AVERAGE(B26:G26)*1000)</f>
        <v/>
      </c>
      <c r="I26" s="29" t="inlineStr">
        <is>
          <t>MEDIA</t>
        </is>
      </c>
      <c r="U26" s="19" t="n">
        <v>0.07846</v>
      </c>
      <c r="V26" s="19" t="n">
        <v>0.06544999999999999</v>
      </c>
      <c r="X26" s="19" t="n">
        <v>0.0725</v>
      </c>
    </row>
    <row r="27">
      <c r="A27" s="13" t="n">
        <v>45566</v>
      </c>
      <c r="B27" s="28" t="n"/>
      <c r="C27" s="28" t="n"/>
      <c r="D27" s="28" t="n"/>
      <c r="E27" s="14">
        <f>IFERROR(VLOOKUP($A27,PQ_Mensual6P!$A:$G,5,0),V27)</f>
        <v/>
      </c>
      <c r="F27" s="14">
        <f>IFERROR(VLOOKUP($A27,PQ_Mensual6P!$A:$G,6,0),W27)</f>
        <v/>
      </c>
      <c r="G27" s="14">
        <f>IFERROR(VLOOKUP($A27,PQ_Mensual6P!$A:$G,7,0),X27)</f>
        <v/>
      </c>
      <c r="H27" s="15">
        <f>IF(COUNT(B27:G27)=0,"",AVERAGE(B27:G27)*1000)</f>
        <v/>
      </c>
      <c r="I27" s="29" t="inlineStr">
        <is>
          <t>BAJA</t>
        </is>
      </c>
      <c r="V27" s="19" t="n">
        <v>0.08416</v>
      </c>
      <c r="W27" s="19" t="n">
        <v>0.06969</v>
      </c>
      <c r="X27" s="19" t="n">
        <v>0.0595</v>
      </c>
    </row>
    <row r="28">
      <c r="A28" s="13" t="n">
        <v>45597</v>
      </c>
      <c r="B28" s="28" t="n"/>
      <c r="C28" s="14">
        <f>IFERROR(VLOOKUP($A28,PQ_Mensual6P!$A:$G,3,0),T28)</f>
        <v/>
      </c>
      <c r="D28" s="14">
        <f>IFERROR(VLOOKUP($A28,PQ_Mensual6P!$A:$G,4,0),U28)</f>
        <v/>
      </c>
      <c r="E28" s="28" t="n"/>
      <c r="F28" s="28" t="n"/>
      <c r="G28" s="14">
        <f>IFERROR(VLOOKUP($A28,PQ_Mensual6P!$A:$G,7,0),X28)</f>
        <v/>
      </c>
      <c r="H28" s="15">
        <f>IF(COUNT(B28:G28)=0,"",AVERAGE(B28:G28)*1000)</f>
        <v/>
      </c>
      <c r="I28" s="29" t="inlineStr">
        <is>
          <t>M-ALTA</t>
        </is>
      </c>
      <c r="T28" s="19" t="n">
        <v>0.11873</v>
      </c>
      <c r="U28" s="19" t="n">
        <v>0.11559</v>
      </c>
      <c r="X28" s="19" t="n">
        <v>0.09408999999999999</v>
      </c>
    </row>
    <row r="29">
      <c r="A29" s="13" t="n">
        <v>45627</v>
      </c>
      <c r="B29" s="14">
        <f>IFERROR(VLOOKUP($A29,PQ_Mensual6P!$A:$G,2,0),S29)</f>
        <v/>
      </c>
      <c r="C29" s="14">
        <f>IFERROR(VLOOKUP($A29,PQ_Mensual6P!$A:$G,3,0),T29)</f>
        <v/>
      </c>
      <c r="D29" s="28" t="n"/>
      <c r="E29" s="28" t="n"/>
      <c r="F29" s="28" t="n"/>
      <c r="G29" s="14">
        <f>IFERROR(VLOOKUP($A29,PQ_Mensual6P!$A:$G,7,0),X29)</f>
        <v/>
      </c>
      <c r="H29" s="15">
        <f>IF(COUNT(B29:G29)=0,"",AVERAGE(B29:G29)*1000)</f>
        <v/>
      </c>
      <c r="I29" s="29" t="inlineStr">
        <is>
          <t>ALTA</t>
        </is>
      </c>
      <c r="S29" s="19" t="n">
        <v>0.12771</v>
      </c>
      <c r="T29" s="19" t="n">
        <v>0.12394</v>
      </c>
      <c r="X29" s="19" t="n">
        <v>0.10005</v>
      </c>
    </row>
    <row r="30">
      <c r="A30" s="13" t="n">
        <v>45658</v>
      </c>
      <c r="B30" s="14">
        <f>IFERROR(VLOOKUP($A30,PQ_Mensual6P!$A:$G,2,0),S30)</f>
        <v/>
      </c>
      <c r="C30" s="14">
        <f>IFERROR(VLOOKUP($A30,PQ_Mensual6P!$A:$G,3,0),T30)</f>
        <v/>
      </c>
      <c r="D30" s="28" t="n"/>
      <c r="E30" s="28" t="n"/>
      <c r="F30" s="28" t="n"/>
      <c r="G30" s="14">
        <f>IFERROR(VLOOKUP($A30,PQ_Mensual6P!$A:$G,7,0),X30)</f>
        <v/>
      </c>
      <c r="H30" s="15">
        <f>IF(COUNT(B30:G30)=0,"",AVERAGE(B30:G30)*1000)</f>
        <v/>
      </c>
      <c r="I30" s="29" t="inlineStr">
        <is>
          <t>ALTA</t>
        </is>
      </c>
      <c r="S30" s="19" t="n">
        <v>0.11677</v>
      </c>
      <c r="T30" s="19" t="n">
        <v>0.10875</v>
      </c>
      <c r="X30" s="19" t="n">
        <v>0.08304</v>
      </c>
    </row>
    <row r="31">
      <c r="A31" s="13" t="n">
        <v>45689</v>
      </c>
      <c r="B31" s="14">
        <f>IFERROR(VLOOKUP($A31,PQ_Mensual6P!$A:$G,2,0),S31)</f>
        <v/>
      </c>
      <c r="C31" s="14">
        <f>IFERROR(VLOOKUP($A31,PQ_Mensual6P!$A:$G,3,0),T31)</f>
        <v/>
      </c>
      <c r="D31" s="28" t="n"/>
      <c r="E31" s="28" t="n"/>
      <c r="F31" s="28" t="n"/>
      <c r="G31" s="14">
        <f>IFERROR(VLOOKUP($A31,PQ_Mensual6P!$A:$G,7,0),X31)</f>
        <v/>
      </c>
      <c r="H31" s="15">
        <f>IF(COUNT(B31:G31)=0,"",AVERAGE(B31:G31)*1000)</f>
        <v/>
      </c>
      <c r="I31" s="29" t="inlineStr">
        <is>
          <t>ALTA</t>
        </is>
      </c>
      <c r="S31" s="19" t="n">
        <v>0.12383</v>
      </c>
      <c r="T31" s="19" t="n">
        <v>0.10691</v>
      </c>
      <c r="X31" s="19" t="n">
        <v>0.10093</v>
      </c>
    </row>
    <row r="32">
      <c r="A32" s="13" t="n">
        <v>45717</v>
      </c>
      <c r="B32" s="28" t="n"/>
      <c r="C32" s="14">
        <f>IFERROR(VLOOKUP($A32,PQ_Mensual6P!$A:$G,3,0),T32)</f>
        <v/>
      </c>
      <c r="D32" s="14">
        <f>IFERROR(VLOOKUP($A32,PQ_Mensual6P!$A:$G,4,0),U32)</f>
        <v/>
      </c>
      <c r="E32" s="28" t="n"/>
      <c r="F32" s="28" t="n"/>
      <c r="G32" s="14">
        <f>IFERROR(VLOOKUP($A32,PQ_Mensual6P!$A:$G,7,0),X32)</f>
        <v/>
      </c>
      <c r="H32" s="15">
        <f>IF(COUNT(B32:G32)=0,"",AVERAGE(B32:G32)*1000)</f>
        <v/>
      </c>
      <c r="I32" s="29" t="inlineStr">
        <is>
          <t>M-ALTA</t>
        </is>
      </c>
      <c r="T32" s="19" t="n">
        <v>0.06889000000000001</v>
      </c>
      <c r="U32" s="19" t="n">
        <v>0.05535</v>
      </c>
      <c r="X32" s="19" t="n">
        <v>0.04494</v>
      </c>
    </row>
    <row r="33">
      <c r="A33" s="13" t="n">
        <v>45748</v>
      </c>
      <c r="B33" s="28" t="n"/>
      <c r="C33" s="28" t="n"/>
      <c r="D33" s="28" t="n"/>
      <c r="E33" s="14">
        <f>IFERROR(VLOOKUP($A33,PQ_Mensual6P!$A:$G,5,0),V33)</f>
        <v/>
      </c>
      <c r="F33" s="14">
        <f>IFERROR(VLOOKUP($A33,PQ_Mensual6P!$A:$G,6,0),W33)</f>
        <v/>
      </c>
      <c r="G33" s="14">
        <f>IFERROR(VLOOKUP($A33,PQ_Mensual6P!$A:$G,7,0),X33)</f>
        <v/>
      </c>
      <c r="H33" s="15">
        <f>IF(COUNT(B33:G33)=0,"",AVERAGE(B33:G33)*1000)</f>
        <v/>
      </c>
      <c r="I33" s="29" t="inlineStr">
        <is>
          <t>BAJA</t>
        </is>
      </c>
      <c r="V33" s="19" t="n">
        <v>0.02742</v>
      </c>
      <c r="W33" s="19" t="n">
        <v>0.02611</v>
      </c>
      <c r="X33" s="19" t="n">
        <v>0.02677</v>
      </c>
    </row>
    <row r="34">
      <c r="A34" s="13" t="n">
        <v>45778</v>
      </c>
      <c r="B34" s="28" t="n"/>
      <c r="C34" s="28" t="n"/>
      <c r="D34" s="28" t="n"/>
      <c r="E34" s="14">
        <f>IFERROR(VLOOKUP($A34,PQ_Mensual6P!$A:$G,5,0),V34)</f>
        <v/>
      </c>
      <c r="F34" s="14">
        <f>IFERROR(VLOOKUP($A34,PQ_Mensual6P!$A:$G,6,0),W34)</f>
        <v/>
      </c>
      <c r="G34" s="14">
        <f>IFERROR(VLOOKUP($A34,PQ_Mensual6P!$A:$G,7,0),X34)</f>
        <v/>
      </c>
      <c r="H34" s="15">
        <f>IF(COUNT(B34:G34)=0,"",AVERAGE(B34:G34)*1000)</f>
        <v/>
      </c>
      <c r="I34" s="29" t="inlineStr">
        <is>
          <t>BAJA</t>
        </is>
      </c>
      <c r="V34" s="19" t="n">
        <v>0.01571</v>
      </c>
      <c r="W34" s="19" t="n">
        <v>0.01798</v>
      </c>
      <c r="X34" s="19" t="n">
        <v>0.01711</v>
      </c>
    </row>
    <row r="35">
      <c r="A35" s="13" t="n">
        <v>45809</v>
      </c>
      <c r="B35" s="28" t="n"/>
      <c r="C35" s="28" t="n"/>
      <c r="D35" s="14">
        <f>IFERROR(VLOOKUP($A35,PQ_Mensual6P!$A:$G,4,0),U35)</f>
        <v/>
      </c>
      <c r="E35" s="14">
        <f>IFERROR(VLOOKUP($A35,PQ_Mensual6P!$A:$G,5,0),V35)</f>
        <v/>
      </c>
      <c r="F35" s="28" t="n"/>
      <c r="G35" s="14">
        <f>IFERROR(VLOOKUP($A35,PQ_Mensual6P!$A:$G,7,0),X35)</f>
        <v/>
      </c>
      <c r="H35" s="15">
        <f>IF(COUNT(B35:G35)=0,"",AVERAGE(B35:G35)*1000)</f>
        <v/>
      </c>
      <c r="I35" s="29" t="inlineStr">
        <is>
          <t>MEDIA</t>
        </is>
      </c>
      <c r="U35" s="19" t="n">
        <v>0.07117999999999999</v>
      </c>
      <c r="V35" s="19" t="n">
        <v>0.06845999999999999</v>
      </c>
      <c r="X35" s="19" t="n">
        <v>0.07488</v>
      </c>
    </row>
    <row r="36">
      <c r="A36" s="13" t="n">
        <v>45839</v>
      </c>
      <c r="B36" s="14">
        <f>IFERROR(VLOOKUP($A36,PQ_Mensual6P!$A:$G,2,0),S36)</f>
        <v/>
      </c>
      <c r="C36" s="14">
        <f>IFERROR(VLOOKUP($A36,PQ_Mensual6P!$A:$G,3,0),T36)</f>
        <v/>
      </c>
      <c r="D36" s="28" t="n"/>
      <c r="E36" s="28" t="n"/>
      <c r="F36" s="28" t="n"/>
      <c r="G36" s="14">
        <f>IFERROR(VLOOKUP($A36,PQ_Mensual6P!$A:$G,7,0),X36)</f>
        <v/>
      </c>
      <c r="H36" s="15">
        <f>IF(COUNT(B36:G36)=0,"",AVERAGE(B36:G36)*1000)</f>
        <v/>
      </c>
      <c r="I36" s="29" t="inlineStr">
        <is>
          <t>ALTA</t>
        </is>
      </c>
      <c r="S36" s="19" t="n">
        <v>0.06657</v>
      </c>
      <c r="T36" s="19" t="n">
        <v>0.06987</v>
      </c>
      <c r="X36" s="19" t="n">
        <v>0.07197000000000001</v>
      </c>
    </row>
    <row r="37">
      <c r="A37" s="13" t="n">
        <v>45870</v>
      </c>
      <c r="B37" s="28" t="n"/>
      <c r="C37" s="28" t="n"/>
      <c r="D37" s="14">
        <f>IFERROR(VLOOKUP($A37,PQ_Mensual6P!$A:$G,4,0),U37)</f>
        <v/>
      </c>
      <c r="E37" s="14">
        <f>IFERROR(VLOOKUP($A37,PQ_Mensual6P!$A:$G,5,0),V37)</f>
        <v/>
      </c>
      <c r="F37" s="28" t="n"/>
      <c r="G37" s="14">
        <f>IFERROR(VLOOKUP($A37,PQ_Mensual6P!$A:$G,7,0),X37)</f>
        <v/>
      </c>
      <c r="H37" s="15">
        <f>IF(COUNT(B37:G37)=0,"",AVERAGE(B37:G37)*1000)</f>
        <v/>
      </c>
      <c r="I37" s="29" t="inlineStr">
        <is>
          <t>MEDIA</t>
        </is>
      </c>
      <c r="U37" s="19" t="n">
        <v>0.0668</v>
      </c>
      <c r="V37" s="19" t="n">
        <v>0.06331000000000001</v>
      </c>
      <c r="X37" s="19" t="n">
        <v>0.07084</v>
      </c>
    </row>
    <row r="38">
      <c r="A38" s="13" t="n">
        <v>45901</v>
      </c>
      <c r="B38" s="28" t="n"/>
      <c r="C38" s="28" t="n"/>
      <c r="D38" s="14">
        <f>IFERROR(VLOOKUP($A38,PQ_Mensual6P!$A:$G,4,0),U38)</f>
        <v/>
      </c>
      <c r="E38" s="14">
        <f>IFERROR(VLOOKUP($A38,PQ_Mensual6P!$A:$G,5,0),V38)</f>
        <v/>
      </c>
      <c r="F38" s="28" t="n"/>
      <c r="G38" s="14">
        <f>IFERROR(VLOOKUP($A38,PQ_Mensual6P!$A:$G,7,0),X38)</f>
        <v/>
      </c>
      <c r="H38" s="15">
        <f>IF(COUNT(B38:G38)=0,"",AVERAGE(B38:G38)*1000)</f>
        <v/>
      </c>
      <c r="I38" s="29" t="inlineStr">
        <is>
          <t>MEDIA</t>
        </is>
      </c>
      <c r="U38" s="19" t="n">
        <v>0.06231</v>
      </c>
      <c r="V38" s="19" t="n">
        <v>0.0516</v>
      </c>
      <c r="X38" s="19" t="n">
        <v>0.06431000000000001</v>
      </c>
    </row>
    <row r="39">
      <c r="A39" s="13" t="n">
        <v>45931</v>
      </c>
      <c r="B39" s="28" t="n"/>
      <c r="C39" s="28" t="n"/>
      <c r="D39" s="28" t="n"/>
      <c r="E39" s="14">
        <f>IFERROR(VLOOKUP($A39,PQ_Mensual6P!$A:$G,5,0),V39)</f>
        <v/>
      </c>
      <c r="F39" s="14">
        <f>IFERROR(VLOOKUP($A39,PQ_Mensual6P!$A:$G,6,0),W39)</f>
        <v/>
      </c>
      <c r="G39" s="14">
        <f>IFERROR(VLOOKUP($A39,PQ_Mensual6P!$A:$G,7,0),X39)</f>
        <v/>
      </c>
      <c r="H39" s="15">
        <f>IF(COUNT(B39:G39)=0,"",AVERAGE(B39:G39)*1000)</f>
        <v/>
      </c>
      <c r="I39" s="29" t="inlineStr">
        <is>
          <t>BAJA</t>
        </is>
      </c>
      <c r="V39" s="19" t="n">
        <v>0.08624999999999999</v>
      </c>
      <c r="W39" s="19" t="n">
        <v>0.07305</v>
      </c>
      <c r="X39" s="19" t="n">
        <v>0.07113</v>
      </c>
    </row>
    <row r="40">
      <c r="A40" s="13" t="n">
        <v>45962</v>
      </c>
      <c r="B40" s="28" t="n"/>
      <c r="C40" s="14">
        <f>IFERROR(VLOOKUP($A40,PQ_Mensual6P!$A:$G,3,0),T40)</f>
        <v/>
      </c>
      <c r="D40" s="14">
        <f>IFERROR(VLOOKUP($A40,PQ_Mensual6P!$A:$G,4,0),U40)</f>
        <v/>
      </c>
      <c r="E40" s="28" t="n"/>
      <c r="F40" s="28" t="n"/>
      <c r="G40" s="14">
        <f>IFERROR(VLOOKUP($A40,PQ_Mensual6P!$A:$G,7,0),X40)</f>
        <v/>
      </c>
      <c r="H40" s="15">
        <f>IF(COUNT(B40:G40)=0,"",AVERAGE(B40:G40)*1000)</f>
        <v/>
      </c>
      <c r="I40" s="29" t="inlineStr">
        <is>
          <t>M-ALTA</t>
        </is>
      </c>
      <c r="T40" s="19" t="n">
        <v>0.06467000000000001</v>
      </c>
      <c r="U40" s="19" t="n">
        <v>0.06322</v>
      </c>
      <c r="X40" s="19" t="n">
        <v>0.05434</v>
      </c>
    </row>
    <row r="41">
      <c r="A41" s="13" t="n">
        <v>45992</v>
      </c>
      <c r="B41" s="14">
        <f>IFERROR(VLOOKUP($A41,PQ_Mensual6P!$A:$G,2,0),S41)</f>
        <v/>
      </c>
      <c r="C41" s="14">
        <f>IFERROR(VLOOKUP($A41,PQ_Mensual6P!$A:$G,3,0),T41)</f>
        <v/>
      </c>
      <c r="D41" s="28" t="n"/>
      <c r="E41" s="28" t="n"/>
      <c r="F41" s="28" t="n"/>
      <c r="G41" s="14">
        <f>IFERROR(VLOOKUP($A41,PQ_Mensual6P!$A:$G,7,0),X41)</f>
        <v/>
      </c>
      <c r="H41" s="15">
        <f>IF(COUNT(B41:G41)=0,"",AVERAGE(B41:G41)*1000)</f>
        <v/>
      </c>
      <c r="I41" s="29" t="inlineStr">
        <is>
          <t>ALTA</t>
        </is>
      </c>
      <c r="S41" s="19" t="n">
        <v>0.09152</v>
      </c>
      <c r="T41" s="19" t="n">
        <v>0.08801</v>
      </c>
      <c r="X41" s="19" t="n">
        <v>0.06796000000000001</v>
      </c>
    </row>
    <row r="42">
      <c r="A42" s="13" t="n">
        <v>46023</v>
      </c>
      <c r="B42" s="14">
        <f>IFERROR(VLOOKUP($A42,PQ_Mensual6P!$A:$G,2,0),S42)</f>
        <v/>
      </c>
      <c r="C42" s="14">
        <f>IFERROR(VLOOKUP($A42,PQ_Mensual6P!$A:$G,3,0),T42)</f>
        <v/>
      </c>
      <c r="D42" s="28" t="n"/>
      <c r="E42" s="28" t="n"/>
      <c r="F42" s="28" t="n"/>
      <c r="G42" s="14">
        <f>IFERROR(VLOOKUP($A42,PQ_Mensual6P!$A:$G,7,0),X42)</f>
        <v/>
      </c>
      <c r="H42" s="15">
        <f>IF(COUNT(B42:G42)=0,"",AVERAGE(B42:G42)*1000)</f>
        <v/>
      </c>
      <c r="I42" s="29" t="inlineStr">
        <is>
          <t>ALTA</t>
        </is>
      </c>
      <c r="S42" s="19" t="n">
        <v>0.08495999999999999</v>
      </c>
      <c r="T42" s="19" t="n">
        <v>0.07575</v>
      </c>
      <c r="X42" s="19" t="n">
        <v>0.06468</v>
      </c>
    </row>
    <row r="43">
      <c r="A43" s="13" t="n">
        <v>46054</v>
      </c>
      <c r="B43" s="14">
        <f>IFERROR(VLOOKUP($A43,PQ_Mensual6P!$A:$G,2,0),S43)</f>
        <v/>
      </c>
      <c r="C43" s="14">
        <f>IFERROR(VLOOKUP($A43,PQ_Mensual6P!$A:$G,3,0),T43)</f>
        <v/>
      </c>
      <c r="D43" s="28" t="n"/>
      <c r="E43" s="28" t="n"/>
      <c r="F43" s="28" t="n"/>
      <c r="G43" s="14">
        <f>IFERROR(VLOOKUP($A43,PQ_Mensual6P!$A:$G,7,0),X43)</f>
        <v/>
      </c>
      <c r="H43" s="15">
        <f>IF(COUNT(B43:G43)=0,"",AVERAGE(B43:G43)*1000)</f>
        <v/>
      </c>
      <c r="I43" s="29" t="inlineStr">
        <is>
          <t>ALTA</t>
        </is>
      </c>
      <c r="S43" s="19" t="n">
        <v>0.02711</v>
      </c>
      <c r="T43" s="19" t="n">
        <v>0.01335</v>
      </c>
      <c r="X43" s="19" t="n">
        <v>0.01216</v>
      </c>
    </row>
    <row r="44">
      <c r="A44" s="13" t="n">
        <v>46082</v>
      </c>
      <c r="B44" s="28" t="n"/>
      <c r="C44" s="14">
        <f>IFERROR(VLOOKUP($A44,PQ_Mensual6P!$A:$G,3,0),T44)</f>
        <v/>
      </c>
      <c r="D44" s="14">
        <f>IFERROR(VLOOKUP($A44,PQ_Mensual6P!$A:$G,4,0),U44)</f>
        <v/>
      </c>
      <c r="E44" s="28" t="n"/>
      <c r="F44" s="28" t="n"/>
      <c r="G44" s="14">
        <f>IFERROR(VLOOKUP($A44,PQ_Mensual6P!$A:$G,7,0),X44)</f>
        <v/>
      </c>
      <c r="H44" s="15">
        <f>IF(COUNT(B44:G44)=0,"",AVERAGE(B44:G44)*1000)</f>
        <v/>
      </c>
      <c r="I44" s="29" t="inlineStr">
        <is>
          <t>M-ALTA</t>
        </is>
      </c>
      <c r="T44" s="19" t="n">
        <v>0.05248</v>
      </c>
      <c r="U44" s="19" t="n">
        <v>0.03921</v>
      </c>
      <c r="X44" s="19" t="n">
        <v>0.03735</v>
      </c>
    </row>
    <row r="45">
      <c r="A45" s="13" t="n">
        <v>46113</v>
      </c>
      <c r="B45" s="28" t="n"/>
      <c r="C45" s="28" t="n"/>
      <c r="D45" s="28" t="n"/>
      <c r="E45" s="14">
        <f>IFERROR(VLOOKUP($A45,PQ_Mensual6P!$A:$G,5,0),V45)</f>
        <v/>
      </c>
      <c r="F45" s="14">
        <f>IFERROR(VLOOKUP($A45,PQ_Mensual6P!$A:$G,6,0),W45)</f>
        <v/>
      </c>
      <c r="G45" s="14">
        <f>IFERROR(VLOOKUP($A45,PQ_Mensual6P!$A:$G,7,0),X45)</f>
        <v/>
      </c>
      <c r="H45" s="15">
        <f>IF(COUNT(B45:G45)=0,"",AVERAGE(B45:G45)*1000)</f>
        <v/>
      </c>
      <c r="I45" s="29" t="inlineStr">
        <is>
          <t>BAJA</t>
        </is>
      </c>
      <c r="V45" s="19" t="n">
        <v>0.03751</v>
      </c>
      <c r="W45" s="19" t="n">
        <v>0.03525</v>
      </c>
      <c r="X45" s="19" t="n">
        <v>0.04811</v>
      </c>
    </row>
    <row r="46">
      <c r="A46" s="13" t="n">
        <v>46143</v>
      </c>
      <c r="B46" s="28" t="n"/>
      <c r="C46" s="28" t="n"/>
      <c r="D46" s="28" t="n"/>
      <c r="E46" s="14">
        <f>IFERROR(VLOOKUP($A46,PQ_Mensual6P!$A:$G,5,0),V46)</f>
        <v/>
      </c>
      <c r="F46" s="14">
        <f>IFERROR(VLOOKUP($A46,PQ_Mensual6P!$A:$G,6,0),W46)</f>
        <v/>
      </c>
      <c r="G46" s="14">
        <f>IFERROR(VLOOKUP($A46,PQ_Mensual6P!$A:$G,7,0),X46)</f>
        <v/>
      </c>
      <c r="H46" s="15">
        <f>IF(COUNT(B46:G46)=0,"",AVERAGE(B46:G46)*1000)</f>
        <v/>
      </c>
      <c r="I46" s="29" t="inlineStr">
        <is>
          <t>BAJA</t>
        </is>
      </c>
      <c r="V46" s="19" t="n">
        <v>0.04241</v>
      </c>
      <c r="W46" s="19" t="n">
        <v>0.04764</v>
      </c>
      <c r="X46" s="19" t="n">
        <v>0.06142</v>
      </c>
    </row>
    <row r="47">
      <c r="A47" s="13" t="n">
        <v>46174</v>
      </c>
      <c r="B47" s="28" t="n"/>
      <c r="C47" s="28" t="n"/>
      <c r="D47" s="14">
        <f>IFERROR(VLOOKUP($A47,PQ_Mensual6P!$A:$G,4,0),U47)</f>
        <v/>
      </c>
      <c r="E47" s="14">
        <f>IFERROR(VLOOKUP($A47,PQ_Mensual6P!$A:$G,5,0),V47)</f>
        <v/>
      </c>
      <c r="F47" s="28" t="n"/>
      <c r="G47" s="14">
        <f>IFERROR(VLOOKUP($A47,PQ_Mensual6P!$A:$G,7,0),X47)</f>
        <v/>
      </c>
      <c r="H47" s="15">
        <f>IF(COUNT(B47:G47)=0,"",AVERAGE(B47:G47)*1000)</f>
        <v/>
      </c>
      <c r="I47" s="29" t="inlineStr">
        <is>
          <t>MEDIA</t>
        </is>
      </c>
      <c r="U47" s="19" t="n">
        <v>0.05528</v>
      </c>
      <c r="V47" s="19" t="n">
        <v>0.06107</v>
      </c>
      <c r="X47" s="19" t="n">
        <v>0.08086</v>
      </c>
    </row>
    <row r="48">
      <c r="A48" s="13" t="n">
        <v>46204</v>
      </c>
      <c r="B48" s="14">
        <f>IFERROR(VLOOKUP($A48,PQ_Mensual6P!$A:$G,2,0),S48)</f>
        <v/>
      </c>
      <c r="C48" s="14">
        <f>IFERROR(VLOOKUP($A48,PQ_Mensual6P!$A:$G,3,0),T48)</f>
        <v/>
      </c>
      <c r="D48" s="28" t="n"/>
      <c r="E48" s="28" t="n"/>
      <c r="F48" s="28" t="n"/>
      <c r="G48" s="14">
        <f>IFERROR(VLOOKUP($A48,PQ_Mensual6P!$A:$G,7,0),X48)</f>
        <v/>
      </c>
      <c r="H48" s="15">
        <f>IF(COUNT(B48:G48)=0,"",AVERAGE(B48:G48)*1000)</f>
        <v/>
      </c>
      <c r="I48" s="29" t="inlineStr">
        <is>
          <t>ALTA</t>
        </is>
      </c>
      <c r="S48" s="19" t="n">
        <v>0.09611</v>
      </c>
      <c r="T48" s="19" t="n">
        <v>0.09802</v>
      </c>
      <c r="X48" s="19" t="n">
        <v>0.11238</v>
      </c>
    </row>
    <row r="49">
      <c r="A49" s="13" t="n">
        <v>46235</v>
      </c>
      <c r="B49" s="28" t="n"/>
      <c r="C49" s="28" t="n"/>
      <c r="D49" s="14">
        <f>IFERROR(VLOOKUP($A49,PQ_Mensual6P!$A:$G,4,0),"")</f>
        <v/>
      </c>
      <c r="E49" s="14">
        <f>IFERROR(VLOOKUP($A49,PQ_Mensual6P!$A:$G,5,0),"")</f>
        <v/>
      </c>
      <c r="F49" s="28" t="n"/>
      <c r="G49" s="14">
        <f>IFERROR(VLOOKUP($A49,PQ_Mensual6P!$A:$G,7,0),"")</f>
        <v/>
      </c>
      <c r="H49" s="15">
        <f>IF(COUNT(B49:G49)=0,"",AVERAGE(B49:G49)*1000)</f>
        <v/>
      </c>
      <c r="I49" s="29" t="inlineStr">
        <is>
          <t>MEDIA</t>
        </is>
      </c>
    </row>
    <row r="50">
      <c r="A50" s="13" t="n">
        <v>46266</v>
      </c>
      <c r="B50" s="28" t="n"/>
      <c r="C50" s="28" t="n"/>
      <c r="D50" s="14">
        <f>IFERROR(VLOOKUP($A50,PQ_Mensual6P!$A:$G,4,0),"")</f>
        <v/>
      </c>
      <c r="E50" s="14">
        <f>IFERROR(VLOOKUP($A50,PQ_Mensual6P!$A:$G,5,0),"")</f>
        <v/>
      </c>
      <c r="F50" s="28" t="n"/>
      <c r="G50" s="14">
        <f>IFERROR(VLOOKUP($A50,PQ_Mensual6P!$A:$G,7,0),"")</f>
        <v/>
      </c>
      <c r="H50" s="15">
        <f>IF(COUNT(B50:G50)=0,"",AVERAGE(B50:G50)*1000)</f>
        <v/>
      </c>
      <c r="I50" s="29" t="inlineStr">
        <is>
          <t>MEDIA</t>
        </is>
      </c>
    </row>
    <row r="51">
      <c r="A51" s="13" t="n">
        <v>46296</v>
      </c>
      <c r="B51" s="28" t="n"/>
      <c r="C51" s="28" t="n"/>
      <c r="D51" s="28" t="n"/>
      <c r="E51" s="14">
        <f>IFERROR(VLOOKUP($A51,PQ_Mensual6P!$A:$G,5,0),"")</f>
        <v/>
      </c>
      <c r="F51" s="14">
        <f>IFERROR(VLOOKUP($A51,PQ_Mensual6P!$A:$G,6,0),"")</f>
        <v/>
      </c>
      <c r="G51" s="14">
        <f>IFERROR(VLOOKUP($A51,PQ_Mensual6P!$A:$G,7,0),"")</f>
        <v/>
      </c>
      <c r="H51" s="15">
        <f>IF(COUNT(B51:G51)=0,"",AVERAGE(B51:G51)*1000)</f>
        <v/>
      </c>
      <c r="I51" s="29" t="inlineStr">
        <is>
          <t>BAJA</t>
        </is>
      </c>
    </row>
    <row r="52">
      <c r="A52" s="13" t="n">
        <v>46327</v>
      </c>
      <c r="B52" s="28" t="n"/>
      <c r="C52" s="14">
        <f>IFERROR(VLOOKUP($A52,PQ_Mensual6P!$A:$G,3,0),"")</f>
        <v/>
      </c>
      <c r="D52" s="14">
        <f>IFERROR(VLOOKUP($A52,PQ_Mensual6P!$A:$G,4,0),"")</f>
        <v/>
      </c>
      <c r="E52" s="28" t="n"/>
      <c r="F52" s="28" t="n"/>
      <c r="G52" s="14">
        <f>IFERROR(VLOOKUP($A52,PQ_Mensual6P!$A:$G,7,0),"")</f>
        <v/>
      </c>
      <c r="H52" s="15">
        <f>IF(COUNT(B52:G52)=0,"",AVERAGE(B52:G52)*1000)</f>
        <v/>
      </c>
      <c r="I52" s="29" t="inlineStr">
        <is>
          <t>M-ALTA</t>
        </is>
      </c>
    </row>
    <row r="53">
      <c r="A53" s="13" t="n">
        <v>46357</v>
      </c>
      <c r="B53" s="14">
        <f>IFERROR(VLOOKUP($A53,PQ_Mensual6P!$A:$G,2,0),"")</f>
        <v/>
      </c>
      <c r="C53" s="14">
        <f>IFERROR(VLOOKUP($A53,PQ_Mensual6P!$A:$G,3,0),"")</f>
        <v/>
      </c>
      <c r="D53" s="28" t="n"/>
      <c r="E53" s="28" t="n"/>
      <c r="F53" s="28" t="n"/>
      <c r="G53" s="14">
        <f>IFERROR(VLOOKUP($A53,PQ_Mensual6P!$A:$G,7,0),"")</f>
        <v/>
      </c>
      <c r="H53" s="15">
        <f>IF(COUNT(B53:G53)=0,"",AVERAGE(B53:G53)*1000)</f>
        <v/>
      </c>
      <c r="I53" s="29" t="inlineStr">
        <is>
          <t>ALTA</t>
        </is>
      </c>
    </row>
    <row r="54">
      <c r="A54" s="13" t="n">
        <v>46388</v>
      </c>
      <c r="B54" s="14">
        <f>IFERROR(VLOOKUP($A54,PQ_Mensual6P!$A:$G,2,0),"")</f>
        <v/>
      </c>
      <c r="C54" s="14">
        <f>IFERROR(VLOOKUP($A54,PQ_Mensual6P!$A:$G,3,0),"")</f>
        <v/>
      </c>
      <c r="D54" s="28" t="n"/>
      <c r="E54" s="28" t="n"/>
      <c r="F54" s="28" t="n"/>
      <c r="G54" s="14">
        <f>IFERROR(VLOOKUP($A54,PQ_Mensual6P!$A:$G,7,0),"")</f>
        <v/>
      </c>
      <c r="H54" s="15">
        <f>IF(COUNT(B54:G54)=0,"",AVERAGE(B54:G54)*1000)</f>
        <v/>
      </c>
      <c r="I54" s="29" t="inlineStr">
        <is>
          <t>ALTA</t>
        </is>
      </c>
    </row>
    <row r="55">
      <c r="A55" s="13" t="n">
        <v>46419</v>
      </c>
      <c r="B55" s="14">
        <f>IFERROR(VLOOKUP($A55,PQ_Mensual6P!$A:$G,2,0),"")</f>
        <v/>
      </c>
      <c r="C55" s="14">
        <f>IFERROR(VLOOKUP($A55,PQ_Mensual6P!$A:$G,3,0),"")</f>
        <v/>
      </c>
      <c r="D55" s="28" t="n"/>
      <c r="E55" s="28" t="n"/>
      <c r="F55" s="28" t="n"/>
      <c r="G55" s="14">
        <f>IFERROR(VLOOKUP($A55,PQ_Mensual6P!$A:$G,7,0),"")</f>
        <v/>
      </c>
      <c r="H55" s="15">
        <f>IF(COUNT(B55:G55)=0,"",AVERAGE(B55:G55)*1000)</f>
        <v/>
      </c>
      <c r="I55" s="29" t="inlineStr">
        <is>
          <t>ALTA</t>
        </is>
      </c>
    </row>
    <row r="56">
      <c r="A56" s="13" t="n">
        <v>46447</v>
      </c>
      <c r="B56" s="28" t="n"/>
      <c r="C56" s="14">
        <f>IFERROR(VLOOKUP($A56,PQ_Mensual6P!$A:$G,3,0),"")</f>
        <v/>
      </c>
      <c r="D56" s="14">
        <f>IFERROR(VLOOKUP($A56,PQ_Mensual6P!$A:$G,4,0),"")</f>
        <v/>
      </c>
      <c r="E56" s="28" t="n"/>
      <c r="F56" s="28" t="n"/>
      <c r="G56" s="14">
        <f>IFERROR(VLOOKUP($A56,PQ_Mensual6P!$A:$G,7,0),"")</f>
        <v/>
      </c>
      <c r="H56" s="15">
        <f>IF(COUNT(B56:G56)=0,"",AVERAGE(B56:G56)*1000)</f>
        <v/>
      </c>
      <c r="I56" s="29" t="inlineStr">
        <is>
          <t>M-ALTA</t>
        </is>
      </c>
    </row>
    <row r="57">
      <c r="A57" s="13" t="n">
        <v>46478</v>
      </c>
      <c r="B57" s="28" t="n"/>
      <c r="C57" s="28" t="n"/>
      <c r="D57" s="28" t="n"/>
      <c r="E57" s="14">
        <f>IFERROR(VLOOKUP($A57,PQ_Mensual6P!$A:$G,5,0),"")</f>
        <v/>
      </c>
      <c r="F57" s="14">
        <f>IFERROR(VLOOKUP($A57,PQ_Mensual6P!$A:$G,6,0),"")</f>
        <v/>
      </c>
      <c r="G57" s="14">
        <f>IFERROR(VLOOKUP($A57,PQ_Mensual6P!$A:$G,7,0),"")</f>
        <v/>
      </c>
      <c r="H57" s="15">
        <f>IF(COUNT(B57:G57)=0,"",AVERAGE(B57:G57)*1000)</f>
        <v/>
      </c>
      <c r="I57" s="29" t="inlineStr">
        <is>
          <t>BAJA</t>
        </is>
      </c>
    </row>
    <row r="58">
      <c r="A58" s="13" t="n">
        <v>46508</v>
      </c>
      <c r="B58" s="28" t="n"/>
      <c r="C58" s="28" t="n"/>
      <c r="D58" s="28" t="n"/>
      <c r="E58" s="14">
        <f>IFERROR(VLOOKUP($A58,PQ_Mensual6P!$A:$G,5,0),"")</f>
        <v/>
      </c>
      <c r="F58" s="14">
        <f>IFERROR(VLOOKUP($A58,PQ_Mensual6P!$A:$G,6,0),"")</f>
        <v/>
      </c>
      <c r="G58" s="14">
        <f>IFERROR(VLOOKUP($A58,PQ_Mensual6P!$A:$G,7,0),"")</f>
        <v/>
      </c>
      <c r="H58" s="15">
        <f>IF(COUNT(B58:G58)=0,"",AVERAGE(B58:G58)*1000)</f>
        <v/>
      </c>
      <c r="I58" s="29" t="inlineStr">
        <is>
          <t>BAJA</t>
        </is>
      </c>
    </row>
    <row r="59">
      <c r="A59" s="13" t="n">
        <v>46539</v>
      </c>
      <c r="B59" s="28" t="n"/>
      <c r="C59" s="28" t="n"/>
      <c r="D59" s="14">
        <f>IFERROR(VLOOKUP($A59,PQ_Mensual6P!$A:$G,4,0),"")</f>
        <v/>
      </c>
      <c r="E59" s="14">
        <f>IFERROR(VLOOKUP($A59,PQ_Mensual6P!$A:$G,5,0),"")</f>
        <v/>
      </c>
      <c r="F59" s="28" t="n"/>
      <c r="G59" s="14">
        <f>IFERROR(VLOOKUP($A59,PQ_Mensual6P!$A:$G,7,0),"")</f>
        <v/>
      </c>
      <c r="H59" s="15">
        <f>IF(COUNT(B59:G59)=0,"",AVERAGE(B59:G59)*1000)</f>
        <v/>
      </c>
      <c r="I59" s="29" t="inlineStr">
        <is>
          <t>MEDIA</t>
        </is>
      </c>
    </row>
    <row r="60">
      <c r="A60" s="13" t="n">
        <v>46569</v>
      </c>
      <c r="B60" s="14">
        <f>IFERROR(VLOOKUP($A60,PQ_Mensual6P!$A:$G,2,0),"")</f>
        <v/>
      </c>
      <c r="C60" s="14">
        <f>IFERROR(VLOOKUP($A60,PQ_Mensual6P!$A:$G,3,0),"")</f>
        <v/>
      </c>
      <c r="D60" s="28" t="n"/>
      <c r="E60" s="28" t="n"/>
      <c r="F60" s="28" t="n"/>
      <c r="G60" s="14">
        <f>IFERROR(VLOOKUP($A60,PQ_Mensual6P!$A:$G,7,0),"")</f>
        <v/>
      </c>
      <c r="H60" s="15">
        <f>IF(COUNT(B60:G60)=0,"",AVERAGE(B60:G60)*1000)</f>
        <v/>
      </c>
      <c r="I60" s="29" t="inlineStr">
        <is>
          <t>ALTA</t>
        </is>
      </c>
    </row>
    <row r="61">
      <c r="A61" s="13" t="n">
        <v>46600</v>
      </c>
      <c r="B61" s="28" t="n"/>
      <c r="C61" s="28" t="n"/>
      <c r="D61" s="14">
        <f>IFERROR(VLOOKUP($A61,PQ_Mensual6P!$A:$G,4,0),"")</f>
        <v/>
      </c>
      <c r="E61" s="14">
        <f>IFERROR(VLOOKUP($A61,PQ_Mensual6P!$A:$G,5,0),"")</f>
        <v/>
      </c>
      <c r="F61" s="28" t="n"/>
      <c r="G61" s="14">
        <f>IFERROR(VLOOKUP($A61,PQ_Mensual6P!$A:$G,7,0),"")</f>
        <v/>
      </c>
      <c r="H61" s="15">
        <f>IF(COUNT(B61:G61)=0,"",AVERAGE(B61:G61)*1000)</f>
        <v/>
      </c>
      <c r="I61" s="29" t="inlineStr">
        <is>
          <t>MEDIA</t>
        </is>
      </c>
    </row>
    <row r="62">
      <c r="A62" s="13" t="n">
        <v>46631</v>
      </c>
      <c r="B62" s="28" t="n"/>
      <c r="C62" s="28" t="n"/>
      <c r="D62" s="14">
        <f>IFERROR(VLOOKUP($A62,PQ_Mensual6P!$A:$G,4,0),"")</f>
        <v/>
      </c>
      <c r="E62" s="14">
        <f>IFERROR(VLOOKUP($A62,PQ_Mensual6P!$A:$G,5,0),"")</f>
        <v/>
      </c>
      <c r="F62" s="28" t="n"/>
      <c r="G62" s="14">
        <f>IFERROR(VLOOKUP($A62,PQ_Mensual6P!$A:$G,7,0),"")</f>
        <v/>
      </c>
      <c r="H62" s="15">
        <f>IF(COUNT(B62:G62)=0,"",AVERAGE(B62:G62)*1000)</f>
        <v/>
      </c>
      <c r="I62" s="29" t="inlineStr">
        <is>
          <t>MEDIA</t>
        </is>
      </c>
    </row>
    <row r="63">
      <c r="A63" s="13" t="n">
        <v>46661</v>
      </c>
      <c r="B63" s="28" t="n"/>
      <c r="C63" s="28" t="n"/>
      <c r="D63" s="28" t="n"/>
      <c r="E63" s="14">
        <f>IFERROR(VLOOKUP($A63,PQ_Mensual6P!$A:$G,5,0),"")</f>
        <v/>
      </c>
      <c r="F63" s="14">
        <f>IFERROR(VLOOKUP($A63,PQ_Mensual6P!$A:$G,6,0),"")</f>
        <v/>
      </c>
      <c r="G63" s="14">
        <f>IFERROR(VLOOKUP($A63,PQ_Mensual6P!$A:$G,7,0),"")</f>
        <v/>
      </c>
      <c r="H63" s="15">
        <f>IF(COUNT(B63:G63)=0,"",AVERAGE(B63:G63)*1000)</f>
        <v/>
      </c>
      <c r="I63" s="29" t="inlineStr">
        <is>
          <t>BAJA</t>
        </is>
      </c>
    </row>
    <row r="64">
      <c r="A64" s="13" t="n">
        <v>46692</v>
      </c>
      <c r="B64" s="28" t="n"/>
      <c r="C64" s="14">
        <f>IFERROR(VLOOKUP($A64,PQ_Mensual6P!$A:$G,3,0),"")</f>
        <v/>
      </c>
      <c r="D64" s="14">
        <f>IFERROR(VLOOKUP($A64,PQ_Mensual6P!$A:$G,4,0),"")</f>
        <v/>
      </c>
      <c r="E64" s="28" t="n"/>
      <c r="F64" s="28" t="n"/>
      <c r="G64" s="14">
        <f>IFERROR(VLOOKUP($A64,PQ_Mensual6P!$A:$G,7,0),"")</f>
        <v/>
      </c>
      <c r="H64" s="15">
        <f>IF(COUNT(B64:G64)=0,"",AVERAGE(B64:G64)*1000)</f>
        <v/>
      </c>
      <c r="I64" s="29" t="inlineStr">
        <is>
          <t>M-ALTA</t>
        </is>
      </c>
    </row>
    <row r="65">
      <c r="A65" s="13" t="n">
        <v>46722</v>
      </c>
      <c r="B65" s="14">
        <f>IFERROR(VLOOKUP($A65,PQ_Mensual6P!$A:$G,2,0),"")</f>
        <v/>
      </c>
      <c r="C65" s="14">
        <f>IFERROR(VLOOKUP($A65,PQ_Mensual6P!$A:$G,3,0),"")</f>
        <v/>
      </c>
      <c r="D65" s="28" t="n"/>
      <c r="E65" s="28" t="n"/>
      <c r="F65" s="28" t="n"/>
      <c r="G65" s="14">
        <f>IFERROR(VLOOKUP($A65,PQ_Mensual6P!$A:$G,7,0),"")</f>
        <v/>
      </c>
      <c r="H65" s="15">
        <f>IF(COUNT(B65:G65)=0,"",AVERAGE(B65:G65)*1000)</f>
        <v/>
      </c>
      <c r="I65" s="29" t="inlineStr">
        <is>
          <t>ALTA</t>
        </is>
      </c>
    </row>
    <row r="67">
      <c r="A67" s="6" t="inlineStr">
        <is>
          <t>Media = promedio simple de los periodos que cotizan ese mes (indicativa; el coste real de un cliente depende de su mix por periodos). ORIGEN: PQ_Mensual6P si tiene datos; si no, congelado (columnas ocultas S:X). La media ponderada por consumo se calcula en el Excel 3.0 con la curva del cliente.</t>
        </is>
      </c>
    </row>
    <row r="68"/>
  </sheetData>
  <mergeCells count="4">
    <mergeCell ref="A2:I3"/>
    <mergeCell ref="A1:L1"/>
    <mergeCell ref="A4:F4"/>
    <mergeCell ref="A67:I68"/>
  </mergeCells>
  <conditionalFormatting sqref="H6:H65">
    <cfRule type="expression" priority="1" dxfId="0">
      <formula>AND(ISNUMBER($H6),$H6&lt;$H$4)</formula>
    </cfRule>
    <cfRule type="expression" priority="2" dxfId="1">
      <formula>AND(ISNUMBER($H6),$H6&gt;=$H$4)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3" customWidth="1" min="4" max="4"/>
    <col width="13" customWidth="1" min="5" max="5"/>
    <col width="3" customWidth="1" min="6" max="6"/>
    <col width="42" customWidth="1" min="7" max="7"/>
    <col width="13" customWidth="1" min="8" max="8"/>
    <col hidden="1" width="13" customWidth="1" min="10" max="10"/>
  </cols>
  <sheetData>
    <row r="1" ht="30" customHeight="1">
      <c r="A1" s="1" t="inlineStr">
        <is>
          <t xml:space="preserve">  OMIP — FUTUROS ELÉCTRICOS ESPAÑA (FTB): curva forward + ventana de fijación</t>
        </is>
      </c>
    </row>
    <row r="2">
      <c r="A2" s="6" t="inlineStr">
        <is>
          <t>El parabrisas: lo que el mercado paga HOY por la electricidad de mañana. Los fijos de las comercializadoras se construyen sobre esta curva (forward + peajes/ajustes + cobertura + fee), así que se mueve ANTES que el spot: es el indicador adelantado del radar. Con la consulta PQ_OMIP se actualiza sola; si no, teclea la columna Manual (amarilla, 5 min/semana desde omip.pt).</t>
        </is>
      </c>
    </row>
    <row r="3"/>
    <row r="4">
      <c r="A4" s="30" t="inlineStr">
        <is>
          <t>Fecha de la lectura:</t>
        </is>
      </c>
      <c r="C4" s="31" t="n">
        <v>46245</v>
      </c>
      <c r="D4" s="7" t="inlineStr">
        <is>
          <t>(con PQ_OMIP cargado, la lectura es la del último refresco)</t>
        </is>
      </c>
    </row>
    <row r="5" ht="26" customHeight="1">
      <c r="A5" s="12" t="inlineStr">
        <is>
          <t>Clave</t>
        </is>
      </c>
      <c r="B5" s="12" t="inlineStr">
        <is>
          <t>Instrumento</t>
        </is>
      </c>
      <c r="C5" s="12" t="inlineStr">
        <is>
          <t>Precio (€/MWh)</t>
        </is>
      </c>
      <c r="D5" s="12" t="inlineStr">
        <is>
          <t>Manual</t>
        </is>
      </c>
      <c r="E5" s="12" t="inlineStr">
        <is>
          <t>Peso forward (meses)</t>
        </is>
      </c>
      <c r="G5" s="3" t="inlineStr">
        <is>
          <t>CÓMO SE LEE LA CURVA:</t>
        </is>
      </c>
    </row>
    <row r="6" ht="26" customHeight="1">
      <c r="A6" s="32" t="inlineStr">
        <is>
          <t>M1</t>
        </is>
      </c>
      <c r="B6" s="33">
        <f>IFERROR(VLOOKUP($A6,PQ_OMIP!$A:$C,2,0),J6)</f>
        <v/>
      </c>
      <c r="C6" s="34">
        <f>IFERROR(VLOOKUP($A6,PQ_OMIP!$A:$C,3,0),D6)</f>
        <v/>
      </c>
      <c r="D6" s="35" t="n">
        <v>115.75</v>
      </c>
      <c r="E6" s="36" t="n">
        <v>1</v>
      </c>
      <c r="G6" s="37" t="inlineStr">
        <is>
          <t>· Corto tenso: Sep-Dic 26 cotizan 97-103 €/MWh.</t>
        </is>
      </c>
      <c r="J6" t="inlineStr">
        <is>
          <t>FTB M Sep-26</t>
        </is>
      </c>
    </row>
    <row r="7" ht="26" customHeight="1">
      <c r="A7" s="32" t="inlineStr">
        <is>
          <t>M2</t>
        </is>
      </c>
      <c r="B7" s="33">
        <f>IFERROR(VLOOKUP($A7,PQ_OMIP!$A:$C,2,0),J7)</f>
        <v/>
      </c>
      <c r="C7" s="34">
        <f>IFERROR(VLOOKUP($A7,PQ_OMIP!$A:$C,3,0),D7)</f>
        <v/>
      </c>
      <c r="D7" s="35" t="n">
        <v>107.5</v>
      </c>
      <c r="E7" s="36" t="n">
        <v>0</v>
      </c>
      <c r="G7" s="37" t="inlineStr">
        <is>
          <t>· Q2-27 a 45,85: el mercado espera primaveras hundidas (solar). Es la base de la jugada trimestral: cerrar Q1/Q3 y dejar Q2 indexado.</t>
        </is>
      </c>
      <c r="J7" t="inlineStr">
        <is>
          <t>FTB M Oct-26</t>
        </is>
      </c>
    </row>
    <row r="8" ht="26" customHeight="1">
      <c r="A8" s="32" t="inlineStr">
        <is>
          <t>M3</t>
        </is>
      </c>
      <c r="B8" s="33">
        <f>IFERROR(VLOOKUP($A8,PQ_OMIP!$A:$C,2,0),J8)</f>
        <v/>
      </c>
      <c r="C8" s="34">
        <f>IFERROR(VLOOKUP($A8,PQ_OMIP!$A:$C,3,0),D8)</f>
        <v/>
      </c>
      <c r="D8" s="35" t="n">
        <v>111.91</v>
      </c>
      <c r="E8" s="36" t="n">
        <v>0</v>
      </c>
      <c r="G8" s="37" t="inlineStr">
        <is>
          <t>· Curva anual bajista: YR-27 66 → YR-29 53. El mercado espera normalización: cuidado con fijar 2-3 años a precios de hoy.</t>
        </is>
      </c>
      <c r="J8" t="inlineStr">
        <is>
          <t>FTB M Nov-26</t>
        </is>
      </c>
    </row>
    <row r="9" ht="26" customHeight="1">
      <c r="A9" s="32" t="inlineStr">
        <is>
          <t>M4</t>
        </is>
      </c>
      <c r="B9" s="33">
        <f>IFERROR(VLOOKUP($A9,PQ_OMIP!$A:$C,2,0),J9)</f>
        <v/>
      </c>
      <c r="C9" s="34">
        <f>IFERROR(VLOOKUP($A9,PQ_OMIP!$A:$C,3,0),D9)</f>
        <v/>
      </c>
      <c r="D9" s="35" t="n">
        <v>112.88</v>
      </c>
      <c r="E9" s="36" t="n">
        <v>0</v>
      </c>
      <c r="G9" s="37" t="inlineStr">
        <is>
          <t>· Pesos del forward: 12 meses contiguos (por defecto Sep+Oct+Nov+Dic + Q1-27×3 + Q2-27×3 + Q3-27×2). Cuando cambie el mes, reajusta pesos.</t>
        </is>
      </c>
      <c r="J9" t="inlineStr">
        <is>
          <t>FTB M Dec-26</t>
        </is>
      </c>
    </row>
    <row r="10" ht="26" customHeight="1">
      <c r="A10" s="32" t="inlineStr">
        <is>
          <t>M5</t>
        </is>
      </c>
      <c r="B10" s="33">
        <f>IFERROR(VLOOKUP($A10,PQ_OMIP!$A:$C,2,0),J10)</f>
        <v/>
      </c>
      <c r="C10" s="34">
        <f>IFERROR(VLOOKUP($A10,PQ_OMIP!$A:$C,3,0),D10)</f>
        <v/>
      </c>
      <c r="D10" s="35" t="n">
        <v>98.56</v>
      </c>
      <c r="E10" s="36" t="n">
        <v>0</v>
      </c>
      <c r="G10" s="37" t="inlineStr">
        <is>
          <t>· Fórmula sectorial del fijo (validada al euro): forward + ~28 peajes/ajustes + ~10 cobertura + fee.</t>
        </is>
      </c>
      <c r="J10" t="inlineStr">
        <is>
          <t>FTB M Jan-27</t>
        </is>
      </c>
    </row>
    <row r="11">
      <c r="A11" s="32" t="inlineStr">
        <is>
          <t>M6</t>
        </is>
      </c>
      <c r="B11" s="33">
        <f>IFERROR(VLOOKUP($A11,PQ_OMIP!$A:$C,2,0),J11)</f>
        <v/>
      </c>
      <c r="C11" s="34">
        <f>IFERROR(VLOOKUP($A11,PQ_OMIP!$A:$C,3,0),D11)</f>
        <v/>
      </c>
      <c r="D11" s="35" t="n">
        <v>93.40000000000001</v>
      </c>
      <c r="E11" s="36" t="n">
        <v>0</v>
      </c>
      <c r="J11" t="inlineStr">
        <is>
          <t>FTB M Feb-27</t>
        </is>
      </c>
    </row>
    <row r="12">
      <c r="A12" s="32" t="inlineStr">
        <is>
          <t>Q1</t>
        </is>
      </c>
      <c r="B12" s="33">
        <f>IFERROR(VLOOKUP($A12,PQ_OMIP!$A:$C,2,0),J12)</f>
        <v/>
      </c>
      <c r="C12" s="34">
        <f>IFERROR(VLOOKUP($A12,PQ_OMIP!$A:$C,3,0),D12)</f>
        <v/>
      </c>
      <c r="D12" s="35" t="n">
        <v>110.75</v>
      </c>
      <c r="E12" s="36" t="n">
        <v>3</v>
      </c>
      <c r="J12" t="inlineStr">
        <is>
          <t>FTB Q4-26</t>
        </is>
      </c>
    </row>
    <row r="13">
      <c r="A13" s="32" t="inlineStr">
        <is>
          <t>Q2</t>
        </is>
      </c>
      <c r="B13" s="33">
        <f>IFERROR(VLOOKUP($A13,PQ_OMIP!$A:$C,2,0),J13)</f>
        <v/>
      </c>
      <c r="C13" s="34">
        <f>IFERROR(VLOOKUP($A13,PQ_OMIP!$A:$C,3,0),D13)</f>
        <v/>
      </c>
      <c r="D13" s="35" t="n">
        <v>92</v>
      </c>
      <c r="E13" s="36" t="n">
        <v>3</v>
      </c>
      <c r="J13" t="inlineStr">
        <is>
          <t>FTB Q1-27</t>
        </is>
      </c>
    </row>
    <row r="14">
      <c r="A14" s="32" t="inlineStr">
        <is>
          <t>Q3</t>
        </is>
      </c>
      <c r="B14" s="33">
        <f>IFERROR(VLOOKUP($A14,PQ_OMIP!$A:$C,2,0),J14)</f>
        <v/>
      </c>
      <c r="C14" s="34">
        <f>IFERROR(VLOOKUP($A14,PQ_OMIP!$A:$C,3,0),D14)</f>
        <v/>
      </c>
      <c r="D14" s="35" t="n">
        <v>46.39</v>
      </c>
      <c r="E14" s="36" t="n">
        <v>3</v>
      </c>
      <c r="J14" t="inlineStr">
        <is>
          <t>FTB Q2-27</t>
        </is>
      </c>
    </row>
    <row r="15">
      <c r="A15" s="32" t="inlineStr">
        <is>
          <t>Q4</t>
        </is>
      </c>
      <c r="B15" s="33">
        <f>IFERROR(VLOOKUP($A15,PQ_OMIP!$A:$C,2,0),J15)</f>
        <v/>
      </c>
      <c r="C15" s="34">
        <f>IFERROR(VLOOKUP($A15,PQ_OMIP!$A:$C,3,0),D15)</f>
        <v/>
      </c>
      <c r="D15" s="35" t="n">
        <v>71.40000000000001</v>
      </c>
      <c r="E15" s="36" t="n">
        <v>2</v>
      </c>
      <c r="J15" t="inlineStr">
        <is>
          <t>FTB Q3-27</t>
        </is>
      </c>
    </row>
    <row r="16">
      <c r="A16" s="32" t="inlineStr">
        <is>
          <t>Q5</t>
        </is>
      </c>
      <c r="B16" s="33">
        <f>IFERROR(VLOOKUP($A16,PQ_OMIP!$A:$C,2,0),J16)</f>
        <v/>
      </c>
      <c r="C16" s="34">
        <f>IFERROR(VLOOKUP($A16,PQ_OMIP!$A:$C,3,0),D16)</f>
        <v/>
      </c>
      <c r="D16" s="35" t="n">
        <v>70.44</v>
      </c>
      <c r="E16" s="36" t="n">
        <v>0</v>
      </c>
      <c r="J16" t="inlineStr">
        <is>
          <t>FTB Q4-27</t>
        </is>
      </c>
    </row>
    <row r="17">
      <c r="A17" s="32" t="inlineStr">
        <is>
          <t>Q6</t>
        </is>
      </c>
      <c r="B17" s="33">
        <f>IFERROR(VLOOKUP($A17,PQ_OMIP!$A:$C,2,0),J17)</f>
        <v/>
      </c>
      <c r="C17" s="34">
        <f>IFERROR(VLOOKUP($A17,PQ_OMIP!$A:$C,3,0),D17)</f>
        <v/>
      </c>
      <c r="D17" s="35" t="n">
        <v>64.61</v>
      </c>
      <c r="E17" s="36" t="n">
        <v>0</v>
      </c>
      <c r="J17" t="inlineStr">
        <is>
          <t>FTB Q1-28</t>
        </is>
      </c>
    </row>
    <row r="18">
      <c r="A18" s="32" t="inlineStr">
        <is>
          <t>Q7</t>
        </is>
      </c>
      <c r="B18" s="33">
        <f>IFERROR(VLOOKUP($A18,PQ_OMIP!$A:$C,2,0),J18)</f>
        <v/>
      </c>
      <c r="C18" s="34">
        <f>IFERROR(VLOOKUP($A18,PQ_OMIP!$A:$C,3,0),D18)</f>
        <v/>
      </c>
      <c r="D18" s="35" t="n">
        <v>41.55</v>
      </c>
      <c r="E18" s="36" t="n">
        <v>0</v>
      </c>
      <c r="J18" t="inlineStr">
        <is>
          <t>FTB Q2-28</t>
        </is>
      </c>
    </row>
    <row r="19">
      <c r="A19" s="32" t="inlineStr">
        <is>
          <t>Y1</t>
        </is>
      </c>
      <c r="B19" s="33">
        <f>IFERROR(VLOOKUP($A19,PQ_OMIP!$A:$C,2,0),J19)</f>
        <v/>
      </c>
      <c r="C19" s="34">
        <f>IFERROR(VLOOKUP($A19,PQ_OMIP!$A:$C,3,0),D19)</f>
        <v/>
      </c>
      <c r="D19" s="35" t="n">
        <v>70</v>
      </c>
      <c r="E19" s="36" t="n">
        <v>0</v>
      </c>
      <c r="J19" t="inlineStr">
        <is>
          <t>FTB YR-27</t>
        </is>
      </c>
    </row>
    <row r="20">
      <c r="A20" s="32" t="inlineStr">
        <is>
          <t>Y2</t>
        </is>
      </c>
      <c r="B20" s="33">
        <f>IFERROR(VLOOKUP($A20,PQ_OMIP!$A:$C,2,0),J20)</f>
        <v/>
      </c>
      <c r="C20" s="34">
        <f>IFERROR(VLOOKUP($A20,PQ_OMIP!$A:$C,3,0),D20)</f>
        <v/>
      </c>
      <c r="D20" s="35" t="n">
        <v>57.5</v>
      </c>
      <c r="E20" s="36" t="n">
        <v>0</v>
      </c>
      <c r="J20" t="inlineStr">
        <is>
          <t>FTB YR-28</t>
        </is>
      </c>
    </row>
    <row r="21">
      <c r="A21" s="32" t="inlineStr">
        <is>
          <t>Y3</t>
        </is>
      </c>
      <c r="B21" s="33">
        <f>IFERROR(VLOOKUP($A21,PQ_OMIP!$A:$C,2,0),J21)</f>
        <v/>
      </c>
      <c r="C21" s="34">
        <f>IFERROR(VLOOKUP($A21,PQ_OMIP!$A:$C,3,0),D21)</f>
        <v/>
      </c>
      <c r="D21" s="35" t="n">
        <v>53.22</v>
      </c>
      <c r="E21" s="36" t="n">
        <v>0</v>
      </c>
      <c r="J21" t="inlineStr">
        <is>
          <t>FTB YR-29</t>
        </is>
      </c>
    </row>
    <row r="23">
      <c r="A23" s="25" t="inlineStr">
        <is>
          <t>Suma de pesos (debe ser 12)</t>
        </is>
      </c>
      <c r="B23" s="38" t="n"/>
      <c r="C23" s="39">
        <f>SUM(E6:E21)</f>
        <v/>
      </c>
      <c r="D23" s="4">
        <f>IF(C23=12,"OK","⚠ ajusta pesos")</f>
        <v/>
      </c>
    </row>
    <row r="24">
      <c r="A24" s="40" t="inlineStr">
        <is>
          <t>FORWARD PRÓXIMOS 12 MESES (€/MWh)</t>
        </is>
      </c>
      <c r="B24" s="38" t="n"/>
      <c r="C24" s="41">
        <f>SUMPRODUCT(C6:C21,E6:E21)/SUM(E6:E21)</f>
        <v/>
      </c>
    </row>
    <row r="25">
      <c r="A25" s="25" t="inlineStr">
        <is>
          <t>Peajes y ajustes (€/MWh)</t>
        </is>
      </c>
      <c r="B25" s="38" t="n"/>
      <c r="C25" s="42" t="n">
        <v>28</v>
      </c>
    </row>
    <row r="26">
      <c r="A26" s="25" t="inlineStr">
        <is>
          <t>Cobertura de seguridad (€/MWh)</t>
        </is>
      </c>
      <c r="B26" s="38" t="n"/>
      <c r="C26" s="42" t="n">
        <v>10</v>
      </c>
    </row>
    <row r="27">
      <c r="A27" s="25" t="inlineStr">
        <is>
          <t>Precio fijo TEÓRICO hoy (€/MWh)</t>
        </is>
      </c>
      <c r="B27" s="38" t="n"/>
      <c r="C27" s="43">
        <f>C24+C25+C26</f>
        <v/>
      </c>
    </row>
    <row r="28">
      <c r="A28" s="25" t="inlineStr">
        <is>
          <t>Mejor fijo del catálogo — energía (€/MWh)</t>
        </is>
      </c>
      <c r="B28" s="38" t="n"/>
      <c r="C28" s="42" t="n">
        <v>109.9</v>
      </c>
    </row>
    <row r="29">
      <c r="A29" s="40" t="inlineStr">
        <is>
          <t>VENTANA DE FIJACIÓN (teórico − catálogo)</t>
        </is>
      </c>
      <c r="B29" s="38" t="n"/>
      <c r="C29" s="41">
        <f>C27-C28</f>
        <v/>
      </c>
    </row>
    <row r="30">
      <c r="A30" s="4">
        <f>IF(C29&gt;5,"VENTANA ABIERTA: quien fija hoy compra por debajo de donde repreciará el catálogo",IF(C29&lt;-5,"El catálogo está caro frente al mercado: negociar o esperar","Neutral: catálogo alineado con el mercado"))</f>
        <v/>
      </c>
    </row>
  </sheetData>
  <mergeCells count="12">
    <mergeCell ref="A4:B4"/>
    <mergeCell ref="A30:E30"/>
    <mergeCell ref="A1:J1"/>
    <mergeCell ref="A24:B24"/>
    <mergeCell ref="A26:B26"/>
    <mergeCell ref="A29:B29"/>
    <mergeCell ref="A25:B25"/>
    <mergeCell ref="A2:H3"/>
    <mergeCell ref="A28:B28"/>
    <mergeCell ref="A23:B23"/>
    <mergeCell ref="D4:H4"/>
    <mergeCell ref="A27:B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7" t="inlineStr">
        <is>
          <t>Zona de carga Power Query — consulta 'Mensual'. Cargar la tabla en A1. Vacía de fábrica: el panel usa los congelados.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7" t="inlineStr">
        <is>
          <t>Zona de carga Power Query — consulta 'Diario'. Cargar la tabla en A1. Vacía de fábrica: el panel usa los congelados.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7" t="inlineStr">
        <is>
          <t>Zona de carga Power Query — consulta 'OMIE_Mensual6P'. Cargar la tabla en A1. Vacía de fábrica: el panel usa los congelados.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7" t="inlineStr">
        <is>
          <t>Zona de carga Power Query — consulta 'OMIP'. Cargar la tabla en A1. Vacía de fábrica: el panel usa los congelados.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2026-08-11T14:10:17Z</dcterms:created>
  <dcterms:modified xsi:type="dcterms:W3CDTF">2026-08-11T14:10:17Z</dcterms:modified>
</cp:coreProperties>
</file>