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IFERROR(DATE(YEAR(MAX(PQ_Diario!A:A)),MONTH(MAX(PQ_Diario!A:A)),1),DATE(2026,8,1))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0.29</v>
      </c>
      <c r="W6" s="20" t="n">
        <v>111.68</v>
      </c>
      <c r="X6" s="20" t="n">
        <v>198.69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-0.3</v>
      </c>
      <c r="W7" s="20" t="n">
        <v>106.2</v>
      </c>
      <c r="X7" s="20" t="n">
        <v>210.3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75</v>
      </c>
      <c r="W8" s="20" t="n">
        <v>151.87</v>
      </c>
      <c r="X8" s="20" t="n">
        <v>222.69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69</v>
      </c>
      <c r="W9" s="20" t="n">
        <v>146.37</v>
      </c>
      <c r="X9" s="20" t="n">
        <v>212.52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4</v>
      </c>
      <c r="W10" s="20" t="n">
        <v>118.92</v>
      </c>
      <c r="X10" s="20" t="n">
        <v>199.47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1.5</v>
      </c>
      <c r="W11" s="20" t="n">
        <v>109.51</v>
      </c>
      <c r="X11" s="20" t="n">
        <v>209.61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</v>
      </c>
      <c r="W12" s="20" t="n">
        <v>119.03</v>
      </c>
      <c r="X12" s="20" t="n">
        <v>220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108.61</v>
      </c>
      <c r="X13" s="20" t="n">
        <v>191.01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-0.11</v>
      </c>
      <c r="W14" s="20" t="n">
        <v>94.39</v>
      </c>
      <c r="X14" s="20" t="n">
        <v>175.73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21</v>
      </c>
      <c r="W15" s="20" t="n">
        <v>126.76</v>
      </c>
      <c r="X15" s="20" t="n">
        <v>233.76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12.14</v>
      </c>
      <c r="W16" s="20" t="n">
        <v>128.85</v>
      </c>
      <c r="X16" s="20" t="n">
        <v>235.51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12</v>
      </c>
      <c r="W17" s="20" t="n">
        <v>135.31</v>
      </c>
      <c r="X17" s="20" t="n">
        <v>250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21</v>
      </c>
      <c r="W18" s="20" t="n">
        <v>138.9</v>
      </c>
      <c r="X18" s="20" t="n">
        <v>268.97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IFERROR(VLOOKUP($A49,PQ_Mensual!$A:$D,2,0),"")</f>
        <v/>
      </c>
      <c r="C49" s="14">
        <f>IFERROR(VLOOKUP($A49,PQ_Mensual!$A:$D,3,0),"")</f>
        <v/>
      </c>
      <c r="D49" s="14">
        <f>IFERROR(VLOOKUP($A49,PQ_Mensual!$A:$D,4,0),"")</f>
        <v/>
      </c>
      <c r="E49" s="14">
        <f>IF(COUNT(B49:D49)=0,"",AVERAGE(B49:D49))</f>
        <v/>
      </c>
      <c r="F49" s="15">
        <f>IF(E49="","",E49*1000)</f>
        <v/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IFERROR(VLOOKUP($A49,PQ_Mensual6P!$A:$G,4,0),"")</f>
        <v/>
      </c>
      <c r="E49" s="14">
        <f>IFERROR(VLOOKUP($A49,PQ_Mensual6P!$A:$G,5,0),"")</f>
        <v/>
      </c>
      <c r="F49" s="28" t="n"/>
      <c r="G49" s="14">
        <f>IFERROR(VLOOKUP($A49,PQ_Mensual6P!$A:$G,7,0),"")</f>
        <v/>
      </c>
      <c r="H49" s="15">
        <f>IF(COUNT(B49:G49)=0,"",AVERAGE(B49:G49)*1000)</f>
        <v/>
      </c>
      <c r="I49" s="29" t="inlineStr">
        <is>
          <t>MEDIA</t>
        </is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46246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110.5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Sep-26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106.5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Oct-26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107.51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Nov-26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108.47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Dec-26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96.56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Jan-27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91.40000000000001</v>
      </c>
      <c r="E11" s="36" t="n">
        <v>0</v>
      </c>
      <c r="J11" t="inlineStr">
        <is>
          <t>FTB M Feb-27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107.49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90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47.02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72.37</v>
      </c>
      <c r="E15" s="36" t="n">
        <v>2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71.40000000000001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64.11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41.05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70.15000000000001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57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2026-08-12T20:08:09Z</dcterms:created>
  <dcterms:modified xsi:type="dcterms:W3CDTF">2026-08-12T20:08:09Z</dcterms:modified>
</cp:coreProperties>
</file>